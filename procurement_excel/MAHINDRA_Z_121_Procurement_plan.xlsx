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rbitnetsol-my.sharepoint.com/personal/chaitanya_mirpagar_augtrans_com1/Documents/"/>
    </mc:Choice>
  </mc:AlternateContent>
  <xr:revisionPtr revIDLastSave="0" documentId="8_{D8670E68-A4B5-454F-932A-D578EDE9DDC2}" xr6:coauthVersionLast="47" xr6:coauthVersionMax="47" xr10:uidLastSave="{00000000-0000-0000-0000-000000000000}"/>
  <bookViews>
    <workbookView xWindow="-110" yWindow="-110" windowWidth="19420" windowHeight="10300" tabRatio="646" firstSheet="2" activeTab="2" xr2:uid="{00000000-000D-0000-FFFF-FFFF00000000}"/>
  </bookViews>
  <sheets>
    <sheet name="LOP " sheetId="38" state="hidden" r:id="rId1"/>
    <sheet name="M Z121 Schedule" sheetId="16" state="hidden" r:id="rId2"/>
    <sheet name="Procurement Plan " sheetId="42" r:id="rId3"/>
  </sheets>
  <definedNames>
    <definedName name="_xlnm._FilterDatabase" localSheetId="0" hidden="1">'LOP '!$A$5:$IJ$59</definedName>
    <definedName name="_xlnm._FilterDatabase" localSheetId="2" hidden="1">'Procurement Plan '!$B$4:$S$81</definedName>
    <definedName name="Actual" localSheetId="0">('LOP '!PeriodInActual*(#REF!&gt;0))*'LOP '!PeriodInPlan</definedName>
    <definedName name="Actual" localSheetId="2">('Procurement Plan '!PeriodInActual*(#REF!&gt;0))*'Procurement Plan '!PeriodInPlan</definedName>
    <definedName name="Actual">([0]!PeriodInActual*(#REF!&gt;0))*[0]!PeriodInPlan</definedName>
    <definedName name="ActualBeyond" localSheetId="0">'LOP '!PeriodInActual*(#REF!&gt;0)</definedName>
    <definedName name="ActualBeyond" localSheetId="2">'Procurement Plan '!PeriodInActual*(#REF!&gt;0)</definedName>
    <definedName name="ActualBeyond">[0]!PeriodInActual*(#REF!&gt;0)</definedName>
    <definedName name="Anlage2" localSheetId="0">OFFSET(#REF!,0,0,COUNTA(#REF!),1)</definedName>
    <definedName name="Anlage2">OFFSET(#REF!,0,0,COUNTA(#REF!),1)</definedName>
    <definedName name="Area2" localSheetId="0">OFFSET(#REF!,0,0,COUNTA(#REF!),1)</definedName>
    <definedName name="Area2">OFFSET(#REF!,0,0,COUNTA(#REF!),1)</definedName>
    <definedName name="BSO" localSheetId="0">OFFSET(#REF!,0,0,COUNTA(#REF!),1)</definedName>
    <definedName name="BSO">OFFSET(#REF!,0,0,COUNTA(#REF!),1)</definedName>
    <definedName name="color" localSheetId="0">#REF!</definedName>
    <definedName name="color" localSheetId="2">#REF!</definedName>
    <definedName name="color">#REF!</definedName>
    <definedName name="D_RING" localSheetId="0">OFFSET(#REF!,0,0,COUNTA(#REF!),1)</definedName>
    <definedName name="D_RING">OFFSET(#REF!,0,0,COUNTA(#REF!),1)</definedName>
    <definedName name="Display_Week" localSheetId="0">#REF!</definedName>
    <definedName name="Display_Week" localSheetId="2">#REF!</definedName>
    <definedName name="Display_Week">#REF!</definedName>
    <definedName name="DX" localSheetId="0">dddd</definedName>
    <definedName name="DX" localSheetId="2">dddd</definedName>
    <definedName name="DX">dddd</definedName>
    <definedName name="FRAMER_1" localSheetId="0">#REF!</definedName>
    <definedName name="FRAMER_1">#REF!</definedName>
    <definedName name="FRAMER_2" localSheetId="0">OFFSET(#REF!,0,0,COUNTA(#REF!),1)</definedName>
    <definedName name="FRAMER_2">OFFSET(#REF!,0,0,COUNTA(#REF!),1)</definedName>
    <definedName name="KOMP" localSheetId="0">OFFSET(#REF!,0,0,COUNTA(#REF!),1)</definedName>
    <definedName name="KOMP">OFFSET(#REF!,0,0,COUNTA(#REF!),1)</definedName>
    <definedName name="LIEF" localSheetId="0">OFFSET(#REF!,0,0,COUNTA(#REF!),1)</definedName>
    <definedName name="LIEF">OFFSET(#REF!,0,0,COUNTA(#REF!),1)</definedName>
    <definedName name="New" localSheetId="0">(#REF!=MEDIAN(#REF!,#REF!,#REF!+#REF!)*(#REF!&gt;0))*((#REF!&lt;(INT(#REF!+#REF!*#REF!)))+(#REF!=#REF!))*(#REF!&gt;0)</definedName>
    <definedName name="New" localSheetId="2">(#REF!=MEDIAN(#REF!,#REF!,#REF!+#REF!)*(#REF!&gt;0))*((#REF!&lt;(INT(#REF!+#REF!*#REF!)))+(#REF!=#REF!))*(#REF!&gt;0)</definedName>
    <definedName name="New">(#REF!=MEDIAN(#REF!,#REF!,#REF!+#REF!)*(#REF!&gt;0))*((#REF!&lt;(INT(#REF!+#REF!*#REF!)))+(#REF!=#REF!))*(#REF!&gt;0)</definedName>
    <definedName name="PercentComplete" localSheetId="0">'LOP '!PercentCompleteBeyond*'LOP '!PeriodInPlan</definedName>
    <definedName name="PercentComplete" localSheetId="2">'Procurement Plan '!PercentCompleteBeyond*'Procurement Plan '!PeriodInPlan</definedName>
    <definedName name="PercentComplete">[0]!PercentCompleteBeyond*[0]!PeriodInPlan</definedName>
    <definedName name="PercentCompleteBeyond" localSheetId="0">(#REF!=MEDIAN(#REF!,#REF!,#REF!+#REF!)*(#REF!&gt;0))*((#REF!&lt;(INT(#REF!+#REF!*#REF!)))+(#REF!=#REF!))*(#REF!&gt;0)</definedName>
    <definedName name="PercentCompleteBeyond" localSheetId="2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0">#REF!</definedName>
    <definedName name="period_selected" localSheetId="2">#REF!</definedName>
    <definedName name="period_selected">#REF!</definedName>
    <definedName name="PeriodInActual" localSheetId="0">#REF!=MEDIAN(#REF!,#REF!,#REF!+#REF!-1)</definedName>
    <definedName name="PeriodInActual" localSheetId="2">#REF!=MEDIAN(#REF!,#REF!,#REF!+#REF!-1)</definedName>
    <definedName name="PeriodInActual">#REF!=MEDIAN(#REF!,#REF!,#REF!+#REF!-1)</definedName>
    <definedName name="PeriodInPlan" localSheetId="0">#REF!=MEDIAN(#REF!,#REF!,#REF!+#REF!-1)</definedName>
    <definedName name="PeriodInPlan" localSheetId="2">#REF!=MEDIAN(#REF!,#REF!,#REF!+#REF!-1)</definedName>
    <definedName name="PeriodInPlan">#REF!=MEDIAN(#REF!,#REF!,#REF!+#REF!-1)</definedName>
    <definedName name="Plan" localSheetId="0">'LOP '!PeriodInPlan*(#REF!&gt;0)</definedName>
    <definedName name="Plan" localSheetId="2">'Procurement Plan '!PeriodInPlan*(#REF!&gt;0)</definedName>
    <definedName name="Plan">PeriodInPlan*(#REF!&gt;0)</definedName>
    <definedName name="PP" localSheetId="0">#N/A</definedName>
    <definedName name="PP" localSheetId="2">'Procurement Plan '!PercentCompleteBeyond*'Procurement Plan '!PeriodInPlan</definedName>
    <definedName name="PP">[0]!PercentCompleteBeyond*[0]!PeriodInPlan</definedName>
    <definedName name="_xlnm.Print_Area" localSheetId="1">'M Z121 Schedule'!$A$1:$DD$79</definedName>
    <definedName name="_xlnm.Print_Titles" localSheetId="1">'M Z121 Schedule'!$4:$6</definedName>
    <definedName name="Project_Start" localSheetId="0">#REF!</definedName>
    <definedName name="Project_Start" localSheetId="2">#REF!</definedName>
    <definedName name="Project_Start">#REF!</definedName>
    <definedName name="RESPOT" localSheetId="0">OFFSET(#REF!,0,0,COUNTA(#REF!),1)</definedName>
    <definedName name="RESPOT">OFFSET(#REF!,0,0,COUNTA(#REF!),1)</definedName>
    <definedName name="Status2" localSheetId="0">#REF!</definedName>
    <definedName name="Status2">#REF!</definedName>
    <definedName name="Struki" localSheetId="0">#REF!</definedName>
    <definedName name="Struki">#REF!</definedName>
    <definedName name="Table1" localSheetId="0">#REF!</definedName>
    <definedName name="Table1" localSheetId="2">#REF!</definedName>
    <definedName name="Table1">#REF!</definedName>
    <definedName name="task_end" localSheetId="1">'M Z121 Schedule'!$G1</definedName>
    <definedName name="task_progress" localSheetId="1">'M Z121 Schedule'!$E1</definedName>
    <definedName name="task_start" localSheetId="1">'M Z121 Schedule'!$F1</definedName>
    <definedName name="Teil2" localSheetId="0">#REF!</definedName>
    <definedName name="Teil2">#REF!</definedName>
    <definedName name="TEXTRaute12" localSheetId="0">#REF!</definedName>
    <definedName name="TEXTRaute12" localSheetId="2">#REF!</definedName>
    <definedName name="TEXTRaute12">#REF!</definedName>
    <definedName name="TEXTRaute17" localSheetId="0">#REF!</definedName>
    <definedName name="TEXTRaute17" localSheetId="2">#REF!</definedName>
    <definedName name="TEXTRaute17">#REF!</definedName>
    <definedName name="TEXTRaute7" localSheetId="0">#REF!</definedName>
    <definedName name="TEXTRaute7" localSheetId="2">#REF!</definedName>
    <definedName name="TEXTRaute7">#REF!</definedName>
    <definedName name="today" localSheetId="1">'M Z121 Schedule'!$F$3</definedName>
    <definedName name="valuevx">42.314159</definedName>
    <definedName name="VERANTW" localSheetId="0">OFFSET(#REF!,0,0,COUNTA(#REF!),1)</definedName>
    <definedName name="VERANTW">OFFSET(#REF!,0,0,COUNTA(#REF!),1)</definedName>
    <definedName name="vertex42_copyright" hidden="1">"© 2017 Vertex42 LLC"</definedName>
    <definedName name="vertex42_id" hidden="1">"project-timeline.xlsx"</definedName>
    <definedName name="vertex42_title" hidden="1">"Project Timeline Template"</definedName>
    <definedName name="Zones" localSheetId="0">#REF!</definedName>
    <definedName name="Zones" localSheetId="2">#REF!</definedName>
    <definedName name="Zon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6" i="42" l="1"/>
  <c r="N16" i="42" s="1"/>
  <c r="L16" i="42" s="1"/>
  <c r="O17" i="42"/>
  <c r="N17" i="42" s="1"/>
  <c r="L17" i="42" s="1"/>
  <c r="O18" i="42"/>
  <c r="N18" i="42" s="1"/>
  <c r="L18" i="42" s="1"/>
  <c r="O19" i="42"/>
  <c r="N19" i="42" s="1"/>
  <c r="L19" i="42" s="1"/>
  <c r="O20" i="42"/>
  <c r="N20" i="42" s="1"/>
  <c r="L20" i="42" s="1"/>
  <c r="O21" i="42"/>
  <c r="N21" i="42" s="1"/>
  <c r="L21" i="42" s="1"/>
  <c r="O22" i="42"/>
  <c r="N22" i="42" s="1"/>
  <c r="L22" i="42" s="1"/>
  <c r="O23" i="42"/>
  <c r="N23" i="42" s="1"/>
  <c r="L23" i="42" s="1"/>
  <c r="O24" i="42"/>
  <c r="N24" i="42" s="1"/>
  <c r="L24" i="42" s="1"/>
  <c r="O25" i="42"/>
  <c r="N25" i="42" s="1"/>
  <c r="L25" i="42" s="1"/>
  <c r="O26" i="42"/>
  <c r="N26" i="42" s="1"/>
  <c r="L26" i="42" s="1"/>
  <c r="O27" i="42"/>
  <c r="N27" i="42" s="1"/>
  <c r="L27" i="42" s="1"/>
  <c r="O28" i="42"/>
  <c r="N28" i="42" s="1"/>
  <c r="L28" i="42" s="1"/>
  <c r="O29" i="42"/>
  <c r="N29" i="42" s="1"/>
  <c r="L29" i="42" s="1"/>
  <c r="O30" i="42"/>
  <c r="N30" i="42" s="1"/>
  <c r="L30" i="42" s="1"/>
  <c r="O31" i="42"/>
  <c r="N31" i="42" s="1"/>
  <c r="L31" i="42" s="1"/>
  <c r="O32" i="42"/>
  <c r="N32" i="42" s="1"/>
  <c r="L32" i="42" s="1"/>
  <c r="O33" i="42"/>
  <c r="N33" i="42" s="1"/>
  <c r="L33" i="42" s="1"/>
  <c r="O34" i="42"/>
  <c r="N34" i="42" s="1"/>
  <c r="L34" i="42" s="1"/>
  <c r="O35" i="42"/>
  <c r="N35" i="42" s="1"/>
  <c r="L35" i="42" s="1"/>
  <c r="O36" i="42"/>
  <c r="N36" i="42" s="1"/>
  <c r="L36" i="42" s="1"/>
  <c r="O37" i="42"/>
  <c r="N37" i="42" s="1"/>
  <c r="L37" i="42" s="1"/>
  <c r="O38" i="42"/>
  <c r="N38" i="42" s="1"/>
  <c r="L38" i="42" s="1"/>
  <c r="O39" i="42"/>
  <c r="N39" i="42" s="1"/>
  <c r="L39" i="42" s="1"/>
  <c r="O40" i="42"/>
  <c r="N40" i="42" s="1"/>
  <c r="L40" i="42" s="1"/>
  <c r="O41" i="42"/>
  <c r="N41" i="42" s="1"/>
  <c r="L41" i="42" s="1"/>
  <c r="O42" i="42"/>
  <c r="N42" i="42" s="1"/>
  <c r="L42" i="42" s="1"/>
  <c r="O43" i="42"/>
  <c r="N43" i="42" s="1"/>
  <c r="L43" i="42" s="1"/>
  <c r="O44" i="42"/>
  <c r="N44" i="42" s="1"/>
  <c r="L44" i="42" s="1"/>
  <c r="O45" i="42"/>
  <c r="N45" i="42" s="1"/>
  <c r="L45" i="42" s="1"/>
  <c r="O46" i="42"/>
  <c r="N46" i="42" s="1"/>
  <c r="L46" i="42" s="1"/>
  <c r="O47" i="42"/>
  <c r="N47" i="42" s="1"/>
  <c r="L47" i="42" s="1"/>
  <c r="O48" i="42"/>
  <c r="N48" i="42" s="1"/>
  <c r="L48" i="42" s="1"/>
  <c r="O49" i="42"/>
  <c r="N49" i="42" s="1"/>
  <c r="L49" i="42" s="1"/>
  <c r="O50" i="42"/>
  <c r="N50" i="42" s="1"/>
  <c r="L50" i="42" s="1"/>
  <c r="O51" i="42"/>
  <c r="N51" i="42" s="1"/>
  <c r="L51" i="42" s="1"/>
  <c r="O52" i="42"/>
  <c r="N52" i="42" s="1"/>
  <c r="L52" i="42" s="1"/>
  <c r="O53" i="42"/>
  <c r="N53" i="42" s="1"/>
  <c r="L53" i="42" s="1"/>
  <c r="O54" i="42"/>
  <c r="N54" i="42" s="1"/>
  <c r="L54" i="42" s="1"/>
  <c r="O55" i="42"/>
  <c r="N55" i="42" s="1"/>
  <c r="L55" i="42" s="1"/>
  <c r="O56" i="42"/>
  <c r="N56" i="42" s="1"/>
  <c r="L56" i="42" s="1"/>
  <c r="O57" i="42"/>
  <c r="N57" i="42" s="1"/>
  <c r="L57" i="42" s="1"/>
  <c r="O58" i="42"/>
  <c r="N58" i="42" s="1"/>
  <c r="L58" i="42" s="1"/>
  <c r="O59" i="42"/>
  <c r="N59" i="42" s="1"/>
  <c r="L59" i="42" s="1"/>
  <c r="O60" i="42"/>
  <c r="N60" i="42" s="1"/>
  <c r="L60" i="42" s="1"/>
  <c r="O61" i="42"/>
  <c r="N61" i="42" s="1"/>
  <c r="L61" i="42" s="1"/>
  <c r="O62" i="42"/>
  <c r="N62" i="42" s="1"/>
  <c r="L62" i="42" s="1"/>
  <c r="O63" i="42"/>
  <c r="N63" i="42" s="1"/>
  <c r="L63" i="42" s="1"/>
  <c r="O64" i="42"/>
  <c r="N64" i="42" s="1"/>
  <c r="L64" i="42" s="1"/>
  <c r="O65" i="42"/>
  <c r="N65" i="42" s="1"/>
  <c r="L65" i="42" s="1"/>
  <c r="O66" i="42"/>
  <c r="N66" i="42" s="1"/>
  <c r="L66" i="42" s="1"/>
  <c r="O67" i="42"/>
  <c r="N67" i="42" s="1"/>
  <c r="L67" i="42" s="1"/>
  <c r="O68" i="42"/>
  <c r="N68" i="42" s="1"/>
  <c r="L68" i="42" s="1"/>
  <c r="O69" i="42"/>
  <c r="N69" i="42" s="1"/>
  <c r="L69" i="42" s="1"/>
  <c r="O70" i="42"/>
  <c r="N70" i="42" s="1"/>
  <c r="L70" i="42" s="1"/>
  <c r="O71" i="42"/>
  <c r="N71" i="42" s="1"/>
  <c r="L71" i="42" s="1"/>
  <c r="O72" i="42"/>
  <c r="N72" i="42" s="1"/>
  <c r="L72" i="42" s="1"/>
  <c r="O73" i="42"/>
  <c r="N73" i="42" s="1"/>
  <c r="L73" i="42" s="1"/>
  <c r="O74" i="42"/>
  <c r="N74" i="42" s="1"/>
  <c r="L74" i="42" s="1"/>
  <c r="O75" i="42"/>
  <c r="N75" i="42" s="1"/>
  <c r="L75" i="42" s="1"/>
  <c r="O76" i="42"/>
  <c r="N76" i="42" s="1"/>
  <c r="L76" i="42" s="1"/>
  <c r="O77" i="42"/>
  <c r="N77" i="42" s="1"/>
  <c r="L77" i="42" s="1"/>
  <c r="O78" i="42"/>
  <c r="N78" i="42" s="1"/>
  <c r="L78" i="42" s="1"/>
  <c r="O79" i="42"/>
  <c r="N79" i="42" s="1"/>
  <c r="L79" i="42" s="1"/>
  <c r="O80" i="42"/>
  <c r="N80" i="42" s="1"/>
  <c r="L80" i="42" s="1"/>
  <c r="O81" i="42"/>
  <c r="N81" i="42" s="1"/>
  <c r="L81" i="42" s="1"/>
  <c r="O14" i="42"/>
  <c r="N14" i="42" s="1"/>
  <c r="L14" i="42" s="1"/>
  <c r="O15" i="42"/>
  <c r="N15" i="42" s="1"/>
  <c r="L15" i="42" s="1"/>
  <c r="O12" i="42"/>
  <c r="N12" i="42" s="1"/>
  <c r="L12" i="42" s="1"/>
  <c r="O13" i="42"/>
  <c r="N13" i="42" s="1"/>
  <c r="L13" i="42" s="1"/>
  <c r="O9" i="42"/>
  <c r="N9" i="42" s="1"/>
  <c r="L9" i="42" s="1"/>
  <c r="O10" i="42"/>
  <c r="N10" i="42" s="1"/>
  <c r="L10" i="42" s="1"/>
  <c r="O11" i="42"/>
  <c r="N11" i="42" s="1"/>
  <c r="L11" i="42" s="1"/>
  <c r="O8" i="42"/>
  <c r="N8" i="42" s="1"/>
  <c r="L8" i="42" s="1"/>
  <c r="O6" i="42"/>
  <c r="N6" i="42" s="1"/>
  <c r="L6" i="42" s="1"/>
  <c r="O7" i="42"/>
  <c r="N7" i="42" s="1"/>
  <c r="L7" i="42" s="1"/>
  <c r="G50" i="42"/>
  <c r="G33" i="16" l="1"/>
  <c r="G15" i="42" l="1"/>
  <c r="G64" i="42"/>
  <c r="G8" i="42"/>
  <c r="G52" i="42"/>
  <c r="G28" i="42"/>
  <c r="G12" i="42"/>
  <c r="G13" i="42"/>
  <c r="G30" i="42"/>
  <c r="G16" i="42"/>
  <c r="G78" i="42"/>
  <c r="G23" i="42"/>
  <c r="G66" i="42"/>
  <c r="G74" i="42"/>
  <c r="G75" i="42"/>
  <c r="G43" i="42"/>
  <c r="G10" i="42"/>
  <c r="G42" i="42"/>
  <c r="G41" i="42"/>
  <c r="G7" i="42"/>
  <c r="G81" i="42"/>
  <c r="G11" i="42"/>
  <c r="G48" i="42"/>
  <c r="G47" i="42"/>
  <c r="G46" i="42"/>
  <c r="G40" i="42"/>
  <c r="G39" i="42"/>
  <c r="G24" i="42"/>
  <c r="G38" i="42"/>
  <c r="G9" i="42"/>
  <c r="G70" i="42"/>
  <c r="G56" i="42"/>
  <c r="G6" i="42"/>
  <c r="G35" i="42"/>
  <c r="G36" i="42"/>
  <c r="G19" i="42"/>
  <c r="G45" i="42"/>
  <c r="G18" i="42"/>
  <c r="G51" i="42"/>
  <c r="G71" i="42"/>
  <c r="G20" i="42"/>
  <c r="G34" i="42"/>
  <c r="G57" i="42"/>
  <c r="G77" i="42"/>
  <c r="G76" i="42"/>
  <c r="G62" i="42"/>
  <c r="G53" i="42"/>
  <c r="G63" i="42"/>
  <c r="G60" i="42"/>
  <c r="G33" i="42"/>
  <c r="G29" i="42"/>
  <c r="G22" i="42"/>
  <c r="G79" i="42"/>
  <c r="G31" i="42"/>
  <c r="G17" i="42"/>
  <c r="G49" i="42"/>
  <c r="G58" i="42"/>
  <c r="G80" i="42"/>
  <c r="G61" i="42"/>
  <c r="G55" i="42"/>
  <c r="G54" i="42"/>
  <c r="G67" i="42"/>
  <c r="G21" i="42"/>
  <c r="G27" i="42"/>
  <c r="G69" i="42"/>
  <c r="G59" i="42"/>
  <c r="G44" i="42"/>
  <c r="G73" i="42"/>
  <c r="G32" i="42"/>
  <c r="G68" i="42"/>
  <c r="G72" i="42"/>
  <c r="G14" i="42"/>
  <c r="G5" i="42"/>
  <c r="G26" i="42"/>
  <c r="G25" i="42"/>
  <c r="G65" i="42"/>
  <c r="E37" i="42" l="1"/>
  <c r="G37" i="42" s="1"/>
  <c r="G29" i="16" l="1"/>
  <c r="F32" i="16" l="1"/>
  <c r="F41" i="16"/>
  <c r="G13" i="16" l="1"/>
  <c r="O5" i="42"/>
  <c r="N5" i="42" s="1"/>
  <c r="L5" i="42" s="1"/>
  <c r="O3" i="38" l="1"/>
  <c r="O2" i="38"/>
  <c r="O1" i="38"/>
  <c r="F11" i="16"/>
  <c r="O4" i="38" l="1"/>
  <c r="F87" i="16" l="1"/>
  <c r="F85" i="16"/>
  <c r="J85" i="16" s="1"/>
  <c r="G83" i="16"/>
  <c r="G57" i="16"/>
  <c r="F65" i="16"/>
  <c r="J66" i="16"/>
  <c r="J67" i="16"/>
  <c r="F17" i="16"/>
  <c r="F21" i="16" s="1"/>
  <c r="G21" i="16" s="1"/>
  <c r="F59" i="16" s="1"/>
  <c r="G59" i="16" s="1"/>
  <c r="J16" i="16"/>
  <c r="G11" i="16"/>
  <c r="G10" i="16"/>
  <c r="J10" i="16" s="1"/>
  <c r="G9" i="16"/>
  <c r="J9" i="16" s="1"/>
  <c r="J8" i="16"/>
  <c r="J12" i="16"/>
  <c r="J14" i="16"/>
  <c r="J18" i="16"/>
  <c r="J20" i="16"/>
  <c r="J22" i="16"/>
  <c r="J24" i="16"/>
  <c r="J26" i="16"/>
  <c r="J28" i="16"/>
  <c r="J30" i="16"/>
  <c r="J32" i="16"/>
  <c r="J34" i="16"/>
  <c r="J36" i="16"/>
  <c r="J38" i="16"/>
  <c r="J40" i="16"/>
  <c r="J42" i="16"/>
  <c r="J44" i="16"/>
  <c r="J46" i="16"/>
  <c r="J48" i="16"/>
  <c r="J50" i="16"/>
  <c r="J52" i="16"/>
  <c r="J54" i="16"/>
  <c r="J56" i="16"/>
  <c r="J58" i="16"/>
  <c r="J60" i="16"/>
  <c r="J62" i="16"/>
  <c r="J64" i="16"/>
  <c r="J68" i="16"/>
  <c r="J70" i="16"/>
  <c r="J72" i="16"/>
  <c r="J74" i="16"/>
  <c r="J76" i="16"/>
  <c r="J78" i="16"/>
  <c r="J80" i="16"/>
  <c r="J82" i="16"/>
  <c r="J84" i="16"/>
  <c r="J86" i="16"/>
  <c r="J87" i="16"/>
  <c r="J88" i="16"/>
  <c r="F15" i="16" l="1"/>
  <c r="G15" i="16" s="1"/>
  <c r="J11" i="16"/>
  <c r="J15" i="16" l="1"/>
  <c r="J13" i="16"/>
  <c r="G17" i="16" l="1"/>
  <c r="F19" i="16" s="1"/>
  <c r="G19" i="16" s="1"/>
  <c r="F25" i="16" s="1"/>
  <c r="G25" i="16" l="1"/>
  <c r="F27" i="16" s="1"/>
  <c r="F31" i="16" s="1"/>
  <c r="F37" i="16"/>
  <c r="G37" i="16" s="1"/>
  <c r="J17" i="16"/>
  <c r="J19" i="16"/>
  <c r="J21" i="16" l="1"/>
  <c r="G27" i="16" l="1"/>
  <c r="J59" i="16"/>
  <c r="F39" i="16"/>
  <c r="G39" i="16" s="1"/>
  <c r="J25" i="16"/>
  <c r="J27" i="16" l="1"/>
  <c r="F29" i="16"/>
  <c r="J37" i="16"/>
  <c r="J23" i="16"/>
  <c r="G41" i="16" l="1"/>
  <c r="F43" i="16" s="1"/>
  <c r="G43" i="16" s="1"/>
  <c r="F45" i="16" s="1"/>
  <c r="G45" i="16" s="1"/>
  <c r="G31" i="16"/>
  <c r="J39" i="16"/>
  <c r="F33" i="16" l="1"/>
  <c r="F35" i="16"/>
  <c r="J31" i="16"/>
  <c r="J41" i="16"/>
  <c r="J29" i="16"/>
  <c r="J57" i="16" l="1"/>
  <c r="J33" i="16"/>
  <c r="G35" i="16"/>
  <c r="J35" i="16" s="1"/>
  <c r="F47" i="16"/>
  <c r="J61" i="16"/>
  <c r="J43" i="16"/>
  <c r="G47" i="16" l="1"/>
  <c r="F49" i="16" s="1"/>
  <c r="J45" i="16"/>
  <c r="G65" i="16"/>
  <c r="J63" i="16" l="1"/>
  <c r="J65" i="16"/>
  <c r="G49" i="16"/>
  <c r="J47" i="16"/>
  <c r="J49" i="16" l="1"/>
  <c r="F51" i="16"/>
  <c r="G51" i="16" s="1"/>
  <c r="F53" i="16" s="1"/>
  <c r="G53" i="16" s="1"/>
  <c r="F55" i="16" s="1"/>
  <c r="F69" i="16"/>
  <c r="J69" i="16" s="1"/>
  <c r="G69" i="16"/>
  <c r="F71" i="16" s="1"/>
  <c r="J51" i="16" l="1"/>
  <c r="G71" i="16"/>
  <c r="J53" i="16"/>
  <c r="G55" i="16"/>
  <c r="J55" i="16" s="1"/>
  <c r="G73" i="16" l="1"/>
  <c r="J71" i="16"/>
  <c r="G81" i="16"/>
  <c r="F75" i="16" l="1"/>
  <c r="J73" i="16"/>
  <c r="F83" i="16"/>
  <c r="J81" i="16"/>
  <c r="G75" i="16" l="1"/>
  <c r="J75" i="16" s="1"/>
  <c r="J83" i="16"/>
  <c r="G77" i="16" l="1"/>
  <c r="G79" i="16" s="1"/>
  <c r="F77" i="16"/>
  <c r="F79" i="16" l="1"/>
  <c r="J79" i="16" s="1"/>
  <c r="J77" i="16"/>
  <c r="K5" i="16" l="1"/>
  <c r="K6" i="16" s="1"/>
  <c r="K4" i="16"/>
  <c r="R4" i="16" s="1"/>
  <c r="Y4" i="16" s="1"/>
  <c r="AF4" i="16" s="1"/>
  <c r="AM4" i="16" s="1"/>
  <c r="AT4" i="16" s="1"/>
  <c r="BA4" i="16" s="1"/>
  <c r="BH4" i="16" s="1"/>
  <c r="BO4" i="16" s="1"/>
  <c r="BV4" i="16" s="1"/>
  <c r="CC4" i="16" s="1"/>
  <c r="CJ4" i="16" s="1"/>
  <c r="CQ4" i="16" s="1"/>
  <c r="CX4" i="16" s="1"/>
  <c r="DE4" i="16" s="1"/>
  <c r="DL4" i="16" s="1"/>
  <c r="DS4" i="16" s="1"/>
  <c r="DZ4" i="16" s="1"/>
  <c r="EG4" i="16" s="1"/>
  <c r="EN4" i="16" s="1"/>
  <c r="EU4" i="16" s="1"/>
  <c r="FB4" i="16" s="1"/>
  <c r="FI4" i="16" s="1"/>
  <c r="FP4" i="16" s="1"/>
  <c r="FW4" i="16" s="1"/>
  <c r="GD4" i="16" s="1"/>
  <c r="GK4" i="16" s="1"/>
  <c r="GR4" i="16" s="1"/>
  <c r="GY4" i="16" s="1"/>
  <c r="HF4" i="16" s="1"/>
  <c r="HM4" i="16" s="1"/>
  <c r="HT4" i="16" s="1"/>
  <c r="IA4" i="16" s="1"/>
  <c r="IH4" i="16" s="1"/>
  <c r="IO4" i="16" s="1"/>
  <c r="IV4" i="16" s="1"/>
  <c r="JC4" i="16" s="1"/>
  <c r="JJ4" i="16" s="1"/>
  <c r="JQ4" i="16" s="1"/>
  <c r="JX4" i="16" s="1"/>
  <c r="KE4" i="16" s="1"/>
  <c r="KL4" i="16" s="1"/>
  <c r="KS4" i="16" s="1"/>
  <c r="KZ4" i="16" s="1"/>
  <c r="LG4" i="16" s="1"/>
  <c r="LN4" i="16" s="1"/>
  <c r="LU4" i="16" s="1"/>
  <c r="MB4" i="16" s="1"/>
  <c r="F3" i="16"/>
  <c r="L5" i="16" l="1"/>
  <c r="L6" i="16" l="1"/>
  <c r="M5" i="16"/>
  <c r="M6" i="16" l="1"/>
  <c r="N5" i="16"/>
  <c r="N6" i="16" l="1"/>
  <c r="O5" i="16"/>
  <c r="O6" i="16" l="1"/>
  <c r="P5" i="16"/>
  <c r="P6" i="16" l="1"/>
  <c r="Q5" i="16"/>
  <c r="R5" i="16" l="1"/>
  <c r="Q6" i="16"/>
  <c r="J7" i="16"/>
  <c r="R6" i="16" l="1"/>
  <c r="S5" i="16"/>
  <c r="T5" i="16" l="1"/>
  <c r="S6" i="16"/>
  <c r="T6" i="16" l="1"/>
  <c r="U5" i="16"/>
  <c r="U6" i="16" l="1"/>
  <c r="V5" i="16"/>
  <c r="V6" i="16" l="1"/>
  <c r="W5" i="16"/>
  <c r="W6" i="16" l="1"/>
  <c r="X5" i="16"/>
  <c r="Y5" i="16" l="1"/>
  <c r="X6" i="16"/>
  <c r="Z5" i="16" l="1"/>
  <c r="Y6" i="16"/>
  <c r="Z6" i="16" l="1"/>
  <c r="AA5" i="16"/>
  <c r="AB5" i="16" l="1"/>
  <c r="AA6" i="16"/>
  <c r="AB6" i="16" l="1"/>
  <c r="AC5" i="16"/>
  <c r="AC6" i="16" l="1"/>
  <c r="AD5" i="16"/>
  <c r="AD6" i="16" l="1"/>
  <c r="AE5" i="16"/>
  <c r="AE6" i="16" l="1"/>
  <c r="AF5" i="16"/>
  <c r="AF6" i="16" l="1"/>
  <c r="AG5" i="16"/>
  <c r="AG6" i="16" l="1"/>
  <c r="AH5" i="16"/>
  <c r="AH6" i="16" l="1"/>
  <c r="AI5" i="16"/>
  <c r="AI6" i="16" l="1"/>
  <c r="AJ5" i="16"/>
  <c r="AJ6" i="16" l="1"/>
  <c r="AK5" i="16"/>
  <c r="AK6" i="16" l="1"/>
  <c r="AL5" i="16"/>
  <c r="AL6" i="16" l="1"/>
  <c r="AM5" i="16"/>
  <c r="AM6" i="16" l="1"/>
  <c r="AN5" i="16"/>
  <c r="AO5" i="16" l="1"/>
  <c r="AN6" i="16"/>
  <c r="AP5" i="16" l="1"/>
  <c r="AO6" i="16"/>
  <c r="AP6" i="16" l="1"/>
  <c r="AQ5" i="16"/>
  <c r="AR5" i="16" l="1"/>
  <c r="AQ6" i="16"/>
  <c r="AR6" i="16" l="1"/>
  <c r="AS5" i="16"/>
  <c r="AS6" i="16" l="1"/>
  <c r="AT5" i="16"/>
  <c r="AT6" i="16" l="1"/>
  <c r="AU5" i="16"/>
  <c r="AU6" i="16" l="1"/>
  <c r="AV5" i="16"/>
  <c r="AV6" i="16" l="1"/>
  <c r="AW5" i="16"/>
  <c r="AW6" i="16" l="1"/>
  <c r="AX5" i="16"/>
  <c r="AX6" i="16" l="1"/>
  <c r="AY5" i="16"/>
  <c r="AY6" i="16" l="1"/>
  <c r="AZ5" i="16"/>
  <c r="AZ6" i="16" l="1"/>
  <c r="BA5" i="16"/>
  <c r="BA6" i="16" l="1"/>
  <c r="BB5" i="16"/>
  <c r="BB6" i="16" l="1"/>
  <c r="BC5" i="16"/>
  <c r="BC6" i="16" l="1"/>
  <c r="BD5" i="16"/>
  <c r="BD6" i="16" l="1"/>
  <c r="BE5" i="16"/>
  <c r="BE6" i="16" l="1"/>
  <c r="BF5" i="16"/>
  <c r="BF6" i="16" l="1"/>
  <c r="BG5" i="16"/>
  <c r="BH5" i="16" l="1"/>
  <c r="BG6" i="16"/>
  <c r="BH6" i="16" l="1"/>
  <c r="BI5" i="16"/>
  <c r="BI6" i="16" l="1"/>
  <c r="BJ5" i="16"/>
  <c r="BJ6" i="16" l="1"/>
  <c r="BK5" i="16"/>
  <c r="BK6" i="16" l="1"/>
  <c r="BL5" i="16"/>
  <c r="BM5" i="16" l="1"/>
  <c r="BL6" i="16"/>
  <c r="BM6" i="16" l="1"/>
  <c r="BN5" i="16"/>
  <c r="BN6" i="16" l="1"/>
  <c r="BO5" i="16"/>
  <c r="BP5" i="16" l="1"/>
  <c r="BO6" i="16"/>
  <c r="BP6" i="16" l="1"/>
  <c r="BQ5" i="16"/>
  <c r="BQ6" i="16" l="1"/>
  <c r="BR5" i="16"/>
  <c r="BR6" i="16" l="1"/>
  <c r="BS5" i="16"/>
  <c r="BS6" i="16" l="1"/>
  <c r="BT5" i="16"/>
  <c r="BU5" i="16" l="1"/>
  <c r="BT6" i="16"/>
  <c r="BU6" i="16" l="1"/>
  <c r="BV5" i="16"/>
  <c r="BV6" i="16" l="1"/>
  <c r="BW5" i="16"/>
  <c r="BW6" i="16" l="1"/>
  <c r="BX5" i="16"/>
  <c r="BX6" i="16" l="1"/>
  <c r="BY5" i="16"/>
  <c r="BY6" i="16" l="1"/>
  <c r="BZ5" i="16"/>
  <c r="BZ6" i="16" l="1"/>
  <c r="CA5" i="16"/>
  <c r="CA6" i="16" l="1"/>
  <c r="CB5" i="16"/>
  <c r="CB6" i="16" l="1"/>
  <c r="CC5" i="16"/>
  <c r="CD5" i="16" l="1"/>
  <c r="CC6" i="16"/>
  <c r="CD6" i="16" l="1"/>
  <c r="CE5" i="16"/>
  <c r="CF5" i="16" l="1"/>
  <c r="CE6" i="16"/>
  <c r="CF6" i="16" l="1"/>
  <c r="CG5" i="16"/>
  <c r="CG6" i="16" l="1"/>
  <c r="CH5" i="16"/>
  <c r="CH6" i="16" l="1"/>
  <c r="CI5" i="16"/>
  <c r="CI6" i="16" l="1"/>
  <c r="CJ5" i="16"/>
  <c r="CK5" i="16" l="1"/>
  <c r="CJ6" i="16"/>
  <c r="CL5" i="16" l="1"/>
  <c r="CK6" i="16"/>
  <c r="CL6" i="16" l="1"/>
  <c r="CM5" i="16"/>
  <c r="CN5" i="16" l="1"/>
  <c r="CM6" i="16"/>
  <c r="CN6" i="16" l="1"/>
  <c r="CO5" i="16"/>
  <c r="CO6" i="16" l="1"/>
  <c r="CP5" i="16"/>
  <c r="CP6" i="16" l="1"/>
  <c r="CQ5" i="16"/>
  <c r="CQ6" i="16" l="1"/>
  <c r="CR5" i="16"/>
  <c r="CR6" i="16" l="1"/>
  <c r="CS5" i="16"/>
  <c r="CS6" i="16" l="1"/>
  <c r="CT5" i="16"/>
  <c r="CT6" i="16" l="1"/>
  <c r="CU5" i="16"/>
  <c r="CU6" i="16" l="1"/>
  <c r="CV5" i="16"/>
  <c r="CV6" i="16" l="1"/>
  <c r="CW5" i="16"/>
  <c r="CW6" i="16" l="1"/>
  <c r="CX5" i="16"/>
  <c r="CX6" i="16" l="1"/>
  <c r="CY5" i="16"/>
  <c r="CY6" i="16" l="1"/>
  <c r="CZ5" i="16"/>
  <c r="DA5" i="16" l="1"/>
  <c r="CZ6" i="16"/>
  <c r="DB5" i="16" l="1"/>
  <c r="DA6" i="16"/>
  <c r="DB6" i="16" l="1"/>
  <c r="DC5" i="16"/>
  <c r="DC6" i="16" l="1"/>
  <c r="DD5" i="16"/>
  <c r="DD6" i="16" l="1"/>
  <c r="DE5" i="16"/>
  <c r="DE6" i="16" l="1"/>
  <c r="DF5" i="16"/>
  <c r="DF6" i="16" l="1"/>
  <c r="DG5" i="16"/>
  <c r="DG6" i="16" l="1"/>
  <c r="DH5" i="16"/>
  <c r="DH6" i="16" l="1"/>
  <c r="DI5" i="16"/>
  <c r="DI6" i="16" l="1"/>
  <c r="DJ5" i="16"/>
  <c r="DJ6" i="16" l="1"/>
  <c r="DK5" i="16"/>
  <c r="DK6" i="16" l="1"/>
  <c r="DL5" i="16"/>
  <c r="DL6" i="16" l="1"/>
  <c r="DM5" i="16"/>
  <c r="DM6" i="16" l="1"/>
  <c r="DN5" i="16"/>
  <c r="DN6" i="16" l="1"/>
  <c r="DO5" i="16"/>
  <c r="DO6" i="16" l="1"/>
  <c r="DP5" i="16"/>
  <c r="DP6" i="16" l="1"/>
  <c r="DQ5" i="16"/>
  <c r="DQ6" i="16" l="1"/>
  <c r="DR5" i="16"/>
  <c r="DR6" i="16" l="1"/>
  <c r="DS5" i="16"/>
  <c r="DT5" i="16" l="1"/>
  <c r="DS6" i="16"/>
  <c r="DT6" i="16" l="1"/>
  <c r="DU5" i="16"/>
  <c r="DU6" i="16" l="1"/>
  <c r="DV5" i="16"/>
  <c r="DV6" i="16" l="1"/>
  <c r="DW5" i="16"/>
  <c r="DW6" i="16" l="1"/>
  <c r="DX5" i="16"/>
  <c r="DY5" i="16" l="1"/>
  <c r="DX6" i="16"/>
  <c r="DY6" i="16" l="1"/>
  <c r="DZ5" i="16"/>
  <c r="DZ6" i="16" l="1"/>
  <c r="EA5" i="16"/>
  <c r="EB5" i="16" l="1"/>
  <c r="EA6" i="16"/>
  <c r="EB6" i="16" l="1"/>
  <c r="EC5" i="16"/>
  <c r="EC6" i="16" l="1"/>
  <c r="ED5" i="16"/>
  <c r="ED6" i="16" l="1"/>
  <c r="EE5" i="16"/>
  <c r="EE6" i="16" l="1"/>
  <c r="EF5" i="16"/>
  <c r="EN5" i="16" l="1"/>
  <c r="EF6" i="16"/>
  <c r="EG5" i="16"/>
  <c r="EG6" i="16" l="1"/>
  <c r="EH5" i="16"/>
  <c r="EN6" i="16"/>
  <c r="EO5" i="16"/>
  <c r="EP5" i="16" l="1"/>
  <c r="EO6" i="16"/>
  <c r="EH6" i="16"/>
  <c r="EI5" i="16"/>
  <c r="EI6" i="16" l="1"/>
  <c r="EJ5" i="16"/>
  <c r="EP6" i="16"/>
  <c r="EQ5" i="16"/>
  <c r="ER5" i="16" l="1"/>
  <c r="EQ6" i="16"/>
  <c r="EJ6" i="16"/>
  <c r="EK5" i="16"/>
  <c r="EK6" i="16" l="1"/>
  <c r="EL5" i="16"/>
  <c r="ER6" i="16"/>
  <c r="ES5" i="16"/>
  <c r="ES6" i="16" l="1"/>
  <c r="ET5" i="16"/>
  <c r="EL6" i="16"/>
  <c r="EM5" i="16"/>
  <c r="EM6" i="16" s="1"/>
  <c r="ET6" i="16" l="1"/>
  <c r="EU5" i="16"/>
  <c r="EU6" i="16" l="1"/>
  <c r="EV5" i="16"/>
  <c r="EW5" i="16" l="1"/>
  <c r="EV6" i="16"/>
  <c r="EX5" i="16" l="1"/>
  <c r="EW6" i="16"/>
  <c r="EX6" i="16" l="1"/>
  <c r="EY5" i="16"/>
  <c r="EZ5" i="16" l="1"/>
  <c r="EY6" i="16"/>
  <c r="EZ6" i="16" l="1"/>
  <c r="FA5" i="16"/>
  <c r="FA6" i="16" l="1"/>
  <c r="FB5" i="16"/>
  <c r="FB6" i="16" l="1"/>
  <c r="FC5" i="16"/>
  <c r="FC6" i="16" l="1"/>
  <c r="FD5" i="16"/>
  <c r="FD6" i="16" l="1"/>
  <c r="FE5" i="16"/>
  <c r="FE6" i="16" l="1"/>
  <c r="FF5" i="16"/>
  <c r="FF6" i="16" l="1"/>
  <c r="FG5" i="16"/>
  <c r="FG6" i="16" l="1"/>
  <c r="FH5" i="16"/>
  <c r="FH6" i="16" l="1"/>
  <c r="FI5" i="16"/>
  <c r="FI6" i="16" l="1"/>
  <c r="FJ5" i="16"/>
  <c r="FJ6" i="16" l="1"/>
  <c r="FK5" i="16"/>
  <c r="FK6" i="16" l="1"/>
  <c r="FL5" i="16"/>
  <c r="FM5" i="16" l="1"/>
  <c r="FL6" i="16"/>
  <c r="FN5" i="16" l="1"/>
  <c r="FM6" i="16"/>
  <c r="FN6" i="16" l="1"/>
  <c r="FO5" i="16"/>
  <c r="FP5" i="16" l="1"/>
  <c r="FO6" i="16"/>
  <c r="FP6" i="16" l="1"/>
  <c r="FQ5" i="16"/>
  <c r="FQ6" i="16" l="1"/>
  <c r="FR5" i="16"/>
  <c r="FR6" i="16" l="1"/>
  <c r="FS5" i="16"/>
  <c r="FS6" i="16" l="1"/>
  <c r="FT5" i="16"/>
  <c r="FU5" i="16" l="1"/>
  <c r="FT6" i="16"/>
  <c r="FU6" i="16" l="1"/>
  <c r="FV5" i="16"/>
  <c r="FV6" i="16" l="1"/>
  <c r="FW5" i="16"/>
  <c r="FX5" i="16" l="1"/>
  <c r="FW6" i="16"/>
  <c r="FX6" i="16" l="1"/>
  <c r="FY5" i="16"/>
  <c r="FZ5" i="16" l="1"/>
  <c r="FY6" i="16"/>
  <c r="GA5" i="16" l="1"/>
  <c r="FZ6" i="16"/>
  <c r="GA6" i="16" l="1"/>
  <c r="GB5" i="16"/>
  <c r="GB6" i="16" l="1"/>
  <c r="GC5" i="16"/>
  <c r="GC6" i="16" l="1"/>
  <c r="GD5" i="16"/>
  <c r="GD6" i="16" l="1"/>
  <c r="GE5" i="16"/>
  <c r="GF5" i="16" l="1"/>
  <c r="GE6" i="16"/>
  <c r="GG5" i="16" l="1"/>
  <c r="GF6" i="16"/>
  <c r="GH5" i="16" l="1"/>
  <c r="GG6" i="16"/>
  <c r="GI5" i="16" l="1"/>
  <c r="GH6" i="16"/>
  <c r="GI6" i="16" l="1"/>
  <c r="GJ5" i="16"/>
  <c r="GK5" i="16" l="1"/>
  <c r="GJ6" i="16"/>
  <c r="GL5" i="16" l="1"/>
  <c r="GK6" i="16"/>
  <c r="GL6" i="16" l="1"/>
  <c r="GM5" i="16"/>
  <c r="GN5" i="16" l="1"/>
  <c r="GM6" i="16"/>
  <c r="GO5" i="16" l="1"/>
  <c r="GN6" i="16"/>
  <c r="GP5" i="16" l="1"/>
  <c r="GO6" i="16"/>
  <c r="GQ5" i="16" l="1"/>
  <c r="GP6" i="16"/>
  <c r="GQ6" i="16" l="1"/>
  <c r="GR5" i="16"/>
  <c r="GS5" i="16" l="1"/>
  <c r="GR6" i="16"/>
  <c r="GT5" i="16" l="1"/>
  <c r="GS6" i="16"/>
  <c r="GT6" i="16" l="1"/>
  <c r="GU5" i="16"/>
  <c r="GV5" i="16" l="1"/>
  <c r="GU6" i="16"/>
  <c r="GW5" i="16" l="1"/>
  <c r="GV6" i="16"/>
  <c r="GX5" i="16" l="1"/>
  <c r="GW6" i="16"/>
  <c r="GY5" i="16" l="1"/>
  <c r="GX6" i="16"/>
  <c r="GY6" i="16" l="1"/>
  <c r="GZ5" i="16"/>
  <c r="GZ6" i="16" l="1"/>
  <c r="HA5" i="16"/>
  <c r="HB5" i="16" l="1"/>
  <c r="HA6" i="16"/>
  <c r="HB6" i="16" l="1"/>
  <c r="HC5" i="16"/>
  <c r="HD5" i="16" l="1"/>
  <c r="HC6" i="16"/>
  <c r="HE5" i="16" l="1"/>
  <c r="HD6" i="16"/>
  <c r="HF5" i="16" l="1"/>
  <c r="HE6" i="16"/>
  <c r="HG5" i="16" l="1"/>
  <c r="HF6" i="16"/>
  <c r="HG6" i="16" l="1"/>
  <c r="HH5" i="16"/>
  <c r="HI5" i="16" l="1"/>
  <c r="HH6" i="16"/>
  <c r="HJ5" i="16" l="1"/>
  <c r="HI6" i="16"/>
  <c r="HJ6" i="16" l="1"/>
  <c r="HK5" i="16"/>
  <c r="HL5" i="16" l="1"/>
  <c r="HK6" i="16"/>
  <c r="HM5" i="16" l="1"/>
  <c r="HL6" i="16"/>
  <c r="HN5" i="16" l="1"/>
  <c r="HM6" i="16"/>
  <c r="HO5" i="16" l="1"/>
  <c r="HN6" i="16"/>
  <c r="HO6" i="16" l="1"/>
  <c r="HP5" i="16"/>
  <c r="HP6" i="16" l="1"/>
  <c r="HQ5" i="16"/>
  <c r="HR5" i="16" l="1"/>
  <c r="HQ6" i="16"/>
  <c r="HR6" i="16" l="1"/>
  <c r="HS5" i="16"/>
  <c r="HT5" i="16" l="1"/>
  <c r="HS6" i="16"/>
  <c r="HU5" i="16" l="1"/>
  <c r="HT6" i="16"/>
  <c r="HV5" i="16" l="1"/>
  <c r="HU6" i="16"/>
  <c r="HW5" i="16" l="1"/>
  <c r="HV6" i="16"/>
  <c r="HW6" i="16" l="1"/>
  <c r="HX5" i="16"/>
  <c r="HX6" i="16" l="1"/>
  <c r="HY5" i="16"/>
  <c r="HZ5" i="16" l="1"/>
  <c r="HY6" i="16"/>
  <c r="HZ6" i="16" l="1"/>
  <c r="IA5" i="16"/>
  <c r="IB5" i="16" l="1"/>
  <c r="IA6" i="16"/>
  <c r="IC5" i="16" l="1"/>
  <c r="IB6" i="16"/>
  <c r="ID5" i="16" l="1"/>
  <c r="IC6" i="16"/>
  <c r="IE5" i="16" l="1"/>
  <c r="ID6" i="16"/>
  <c r="IE6" i="16" l="1"/>
  <c r="IF5" i="16"/>
  <c r="IF6" i="16" l="1"/>
  <c r="IG5" i="16"/>
  <c r="IH5" i="16" l="1"/>
  <c r="IG6" i="16"/>
  <c r="IH6" i="16" l="1"/>
  <c r="II5" i="16"/>
  <c r="IJ5" i="16" l="1"/>
  <c r="II6" i="16"/>
  <c r="IK5" i="16" l="1"/>
  <c r="IJ6" i="16"/>
  <c r="IL5" i="16" l="1"/>
  <c r="IK6" i="16"/>
  <c r="IM5" i="16" l="1"/>
  <c r="IL6" i="16"/>
  <c r="IM6" i="16" l="1"/>
  <c r="IN5" i="16"/>
  <c r="IN6" i="16" l="1"/>
  <c r="IO5" i="16"/>
  <c r="IP5" i="16" l="1"/>
  <c r="IO6" i="16"/>
  <c r="IP6" i="16" l="1"/>
  <c r="IQ5" i="16"/>
  <c r="IR5" i="16" l="1"/>
  <c r="IQ6" i="16"/>
  <c r="IS5" i="16" l="1"/>
  <c r="IR6" i="16"/>
  <c r="IT5" i="16" l="1"/>
  <c r="IS6" i="16"/>
  <c r="IU5" i="16" l="1"/>
  <c r="IT6" i="16"/>
  <c r="IU6" i="16" l="1"/>
  <c r="IV5" i="16"/>
  <c r="IV6" i="16" l="1"/>
  <c r="IW5" i="16"/>
  <c r="IX5" i="16" l="1"/>
  <c r="IW6" i="16"/>
  <c r="IX6" i="16" l="1"/>
  <c r="IY5" i="16"/>
  <c r="IZ5" i="16" l="1"/>
  <c r="IY6" i="16"/>
  <c r="JA5" i="16" l="1"/>
  <c r="IZ6" i="16"/>
  <c r="JB5" i="16" l="1"/>
  <c r="JA6" i="16"/>
  <c r="JC5" i="16" l="1"/>
  <c r="JB6" i="16"/>
  <c r="JC6" i="16" l="1"/>
  <c r="JD5" i="16"/>
  <c r="JD6" i="16" l="1"/>
  <c r="JE5" i="16"/>
  <c r="JF5" i="16" l="1"/>
  <c r="JE6" i="16"/>
  <c r="JF6" i="16" l="1"/>
  <c r="JG5" i="16"/>
  <c r="JH5" i="16" l="1"/>
  <c r="JG6" i="16"/>
  <c r="JI5" i="16" l="1"/>
  <c r="JH6" i="16"/>
  <c r="JJ5" i="16" l="1"/>
  <c r="JI6" i="16"/>
  <c r="JK5" i="16" l="1"/>
  <c r="JJ6" i="16"/>
  <c r="JK6" i="16" l="1"/>
  <c r="JL5" i="16"/>
  <c r="JL6" i="16" l="1"/>
  <c r="JM5" i="16"/>
  <c r="JN5" i="16" l="1"/>
  <c r="JM6" i="16"/>
  <c r="JN6" i="16" l="1"/>
  <c r="JO5" i="16"/>
  <c r="JP5" i="16" l="1"/>
  <c r="JO6" i="16"/>
  <c r="JQ5" i="16" l="1"/>
  <c r="JP6" i="16"/>
  <c r="JR5" i="16" l="1"/>
  <c r="JQ6" i="16"/>
  <c r="JS5" i="16" l="1"/>
  <c r="JR6" i="16"/>
  <c r="JS6" i="16" l="1"/>
  <c r="JT5" i="16"/>
  <c r="JT6" i="16" l="1"/>
  <c r="JU5" i="16"/>
  <c r="JV5" i="16" l="1"/>
  <c r="JU6" i="16"/>
  <c r="JV6" i="16" l="1"/>
  <c r="JW5" i="16"/>
  <c r="JX5" i="16" l="1"/>
  <c r="JW6" i="16"/>
  <c r="JY5" i="16" l="1"/>
  <c r="JX6" i="16"/>
  <c r="JZ5" i="16" l="1"/>
  <c r="JY6" i="16"/>
  <c r="KA5" i="16" l="1"/>
  <c r="JZ6" i="16"/>
  <c r="KA6" i="16" l="1"/>
  <c r="KB5" i="16"/>
  <c r="KB6" i="16" l="1"/>
  <c r="KC5" i="16"/>
  <c r="KD5" i="16" l="1"/>
  <c r="KC6" i="16"/>
  <c r="KD6" i="16" l="1"/>
  <c r="KE5" i="16"/>
  <c r="KF5" i="16" l="1"/>
  <c r="KE6" i="16"/>
  <c r="KG5" i="16" l="1"/>
  <c r="KF6" i="16"/>
  <c r="KH5" i="16" l="1"/>
  <c r="KG6" i="16"/>
  <c r="KI5" i="16" l="1"/>
  <c r="KH6" i="16"/>
  <c r="KI6" i="16" l="1"/>
  <c r="KJ5" i="16"/>
  <c r="KJ6" i="16" l="1"/>
  <c r="KK5" i="16"/>
  <c r="KL5" i="16" l="1"/>
  <c r="KK6" i="16"/>
  <c r="KL6" i="16" l="1"/>
  <c r="KM5" i="16"/>
  <c r="KN5" i="16" l="1"/>
  <c r="KM6" i="16"/>
  <c r="KO5" i="16" l="1"/>
  <c r="KN6" i="16"/>
  <c r="KP5" i="16" l="1"/>
  <c r="KO6" i="16"/>
  <c r="KQ5" i="16" l="1"/>
  <c r="KP6" i="16"/>
  <c r="KQ6" i="16" l="1"/>
  <c r="KR5" i="16"/>
  <c r="KR6" i="16" l="1"/>
  <c r="KS5" i="16"/>
  <c r="KT5" i="16" l="1"/>
  <c r="KS6" i="16"/>
  <c r="KT6" i="16" l="1"/>
  <c r="KU5" i="16"/>
  <c r="KV5" i="16" l="1"/>
  <c r="KU6" i="16"/>
  <c r="KW5" i="16" l="1"/>
  <c r="KV6" i="16"/>
  <c r="KX5" i="16" l="1"/>
  <c r="KW6" i="16"/>
  <c r="KY5" i="16" l="1"/>
  <c r="KX6" i="16"/>
  <c r="KY6" i="16" l="1"/>
  <c r="KZ5" i="16"/>
  <c r="KZ6" i="16" l="1"/>
  <c r="LA5" i="16"/>
  <c r="LB5" i="16" l="1"/>
  <c r="LA6" i="16"/>
  <c r="LB6" i="16" l="1"/>
  <c r="LC5" i="16"/>
  <c r="LD5" i="16" l="1"/>
  <c r="LC6" i="16"/>
  <c r="LE5" i="16" l="1"/>
  <c r="LD6" i="16"/>
  <c r="LF5" i="16" l="1"/>
  <c r="LE6" i="16"/>
  <c r="LG5" i="16" l="1"/>
  <c r="LF6" i="16"/>
  <c r="LG6" i="16" l="1"/>
  <c r="LH5" i="16"/>
  <c r="LH6" i="16" l="1"/>
  <c r="LI5" i="16"/>
  <c r="LJ5" i="16" l="1"/>
  <c r="LI6" i="16"/>
  <c r="LJ6" i="16" l="1"/>
  <c r="LK5" i="16"/>
  <c r="LL5" i="16" l="1"/>
  <c r="LK6" i="16"/>
  <c r="LM5" i="16" l="1"/>
  <c r="LL6" i="16"/>
  <c r="LN5" i="16" l="1"/>
  <c r="LM6" i="16"/>
  <c r="LO5" i="16" l="1"/>
  <c r="LN6" i="16"/>
  <c r="LO6" i="16" l="1"/>
  <c r="LP5" i="16"/>
  <c r="LP6" i="16" l="1"/>
  <c r="LQ5" i="16"/>
  <c r="LR5" i="16" l="1"/>
  <c r="LQ6" i="16"/>
  <c r="LR6" i="16" l="1"/>
  <c r="LS5" i="16"/>
  <c r="LT5" i="16" l="1"/>
  <c r="LS6" i="16"/>
  <c r="LU5" i="16" l="1"/>
  <c r="LT6" i="16"/>
  <c r="LV5" i="16" l="1"/>
  <c r="LU6" i="16"/>
  <c r="LW5" i="16" l="1"/>
  <c r="LV6" i="16"/>
  <c r="LW6" i="16" l="1"/>
  <c r="LX5" i="16"/>
  <c r="LX6" i="16" l="1"/>
  <c r="LY5" i="16"/>
  <c r="LZ5" i="16" l="1"/>
  <c r="LY6" i="16"/>
  <c r="LZ6" i="16" l="1"/>
  <c r="MA5" i="16"/>
  <c r="MB5" i="16" l="1"/>
  <c r="MA6" i="16"/>
  <c r="MC5" i="16" l="1"/>
  <c r="MB6" i="16"/>
  <c r="MD5" i="16" l="1"/>
  <c r="MC6" i="16"/>
  <c r="ME5" i="16" l="1"/>
  <c r="MD6" i="16"/>
  <c r="ME6" i="16" l="1"/>
  <c r="MF5" i="16"/>
  <c r="MF6" i="16" l="1"/>
  <c r="MG5" i="16"/>
  <c r="MH5" i="16" l="1"/>
  <c r="MH6" i="16" s="1"/>
  <c r="MG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  <author>Babel, Sumit</author>
    <author>tc={8B06F501-B312-4939-9597-68BE052CA5F0}</author>
    <author>tc={4B0EE854-4AB0-4DFE-97EC-E5E9F7ACD9B5}</author>
  </authors>
  <commentList>
    <comment ref="J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  <comment ref="C7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Babel, Sumit:</t>
        </r>
        <r>
          <rPr>
            <sz val="9"/>
            <color indexed="81"/>
            <rFont val="Tahoma"/>
            <family val="2"/>
          </rPr>
          <t xml:space="preserve">
PO is yet to be received
</t>
        </r>
      </text>
    </comment>
    <comment ref="G14" authorId="2" shapeId="0" xr:uid="{8B06F501-B312-4939-9597-68BE052CA5F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Received on 14-Aug ,Work Started on 15-Aug</t>
      </text>
    </comment>
    <comment ref="C19" authorId="3" shapeId="0" xr:uid="{4B0EE854-4AB0-4DFE-97EC-E5E9F7ACD9B5}">
      <text>
        <t>[Threaded comment]
Your version of Excel allows you to read this threaded comment; however, any edits to it will get removed if the file is opened in a newer version of Excel. Learn more: https://go.microsoft.com/fwlink/?linkid=870924
Comment:
    Delayed By 1 Week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36" authorId="0" shapeId="0" xr:uid="{1A8A12C4-0D96-4DEC-B412-8F7A1373F98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required for panel built</t>
        </r>
      </text>
    </comment>
    <comment ref="Q37" authorId="0" shapeId="0" xr:uid="{7E5A2BFE-F553-4513-A343-E180FE3E1DC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required for panel built</t>
        </r>
      </text>
    </comment>
  </commentList>
</comments>
</file>

<file path=xl/sharedStrings.xml><?xml version="1.0" encoding="utf-8"?>
<sst xmlns="http://schemas.openxmlformats.org/spreadsheetml/2006/main" count="922" uniqueCount="397">
  <si>
    <t>Z121 Bodyshop - Open Issues Tracking</t>
  </si>
  <si>
    <t>CLOSED</t>
  </si>
  <si>
    <t>WIP</t>
  </si>
  <si>
    <t>OPEN</t>
  </si>
  <si>
    <t>Total</t>
  </si>
  <si>
    <t>No.</t>
  </si>
  <si>
    <t xml:space="preserve">Priority </t>
  </si>
  <si>
    <t>Line
(Zone)</t>
    <phoneticPr fontId="0"/>
  </si>
  <si>
    <t xml:space="preserve">Stn.No </t>
  </si>
  <si>
    <t xml:space="preserve">Raised By </t>
  </si>
  <si>
    <t>Organization</t>
  </si>
  <si>
    <t>Responsibility</t>
  </si>
  <si>
    <t>Issue start Date</t>
  </si>
  <si>
    <t>Concern / Question</t>
  </si>
  <si>
    <t>Image (if required )</t>
  </si>
  <si>
    <t>Target Date
(Due Date)</t>
    <phoneticPr fontId="0"/>
  </si>
  <si>
    <t>Countermeasure / Answer</t>
  </si>
  <si>
    <t>Closing Date</t>
  </si>
  <si>
    <t>Status
(Open/Close
&amp; WIP)</t>
  </si>
  <si>
    <t xml:space="preserve">Remarks
(Final-Response)
</t>
  </si>
  <si>
    <t>Mahantesh N</t>
  </si>
  <si>
    <t>Mahindra</t>
  </si>
  <si>
    <t>Kiran A</t>
  </si>
  <si>
    <t>Project Kick Off Meeting</t>
  </si>
  <si>
    <t>Close</t>
  </si>
  <si>
    <t>Project Kick off Meeting with M&amp;M Team carried out</t>
  </si>
  <si>
    <t>TKAB Project Organizational Structure</t>
  </si>
  <si>
    <t>Project Execution Team Introudction given to M&amp;M Team</t>
  </si>
  <si>
    <t>Sumit B</t>
  </si>
  <si>
    <t>TKAB</t>
  </si>
  <si>
    <t>Purchase Order</t>
  </si>
  <si>
    <t xml:space="preserve">Mahindra needs to share PO with TKAB </t>
  </si>
  <si>
    <t>Robot Make Fanuc / Kuka</t>
  </si>
  <si>
    <t>Input Data Requirement as per checklist shared by TKAB for Design and Simulation</t>
  </si>
  <si>
    <t>Product Data and Simulation Cell data shared by M&amp;M, Rest of the data as per checklist is pending</t>
  </si>
  <si>
    <t>Prathamesh T</t>
  </si>
  <si>
    <t>Prashant T</t>
  </si>
  <si>
    <t>Controls BOM Approval for ordering</t>
  </si>
  <si>
    <r>
      <rPr>
        <strike/>
        <sz val="16"/>
        <color rgb="FF000000"/>
        <rFont val="Arial"/>
        <family val="2"/>
      </rPr>
      <t xml:space="preserve">07.08.2025
</t>
    </r>
    <r>
      <rPr>
        <sz val="16"/>
        <color rgb="FF000000"/>
        <rFont val="Arial"/>
        <family val="2"/>
      </rPr>
      <t>03-09-25</t>
    </r>
  </si>
  <si>
    <t xml:space="preserve">Go ahead received from Mahindra controls team on 18.8.25 for ordering -The review of the PLC &amp; Drive  panel has been completed, </t>
  </si>
  <si>
    <t>Shripad R</t>
  </si>
  <si>
    <t>Confirmation on PRB and EGT</t>
  </si>
  <si>
    <t xml:space="preserve">EGT approved for all grippers.
PRB is approved as per presentation provided. 
Boughtouts confirmed.
PRB pitch of 5.5m approved by M&amp;M on 11-Sep.
</t>
  </si>
  <si>
    <t>Deepak S</t>
  </si>
  <si>
    <t>Robot Spec along with payload required</t>
  </si>
  <si>
    <t>Fence make to be discussed &amp; concluded</t>
  </si>
  <si>
    <t>Make to be concluded by Mahindra</t>
  </si>
  <si>
    <t>Open</t>
  </si>
  <si>
    <t>Eplan Version, EPLAN P8_2023 software version, to  be confirmed.</t>
  </si>
  <si>
    <t>Rohit . Z</t>
  </si>
  <si>
    <t>Akhil /Shubham</t>
  </si>
  <si>
    <t>Need Clarification on NASH make guns used in which Robotic Lines</t>
  </si>
  <si>
    <t> </t>
  </si>
  <si>
    <t>Nash to be used in Bodysides.</t>
  </si>
  <si>
    <t>Vilas .V</t>
  </si>
  <si>
    <t xml:space="preserve">Layout Queries Shared , mahindra to check &amp; provide feedback </t>
  </si>
  <si>
    <t>Additional column at the actual site, located between Grid M–N and H–I was obstructing.
1).The column between Grid H–I is interfering with the transfer system, just before the UB system- After review ot Mahindra and TKAB Team confirmed that there is no interferance  
2).The column between Grid M–N is obstructing the rear door closure system - After discussion with Mahindra agreed to remove columns between grid M-N
Points discussed with Mr. Dnyaneshwar S.</t>
  </si>
  <si>
    <t>Rajeev P</t>
  </si>
  <si>
    <t xml:space="preserve">Hemming Bed document shared for verification </t>
  </si>
  <si>
    <t>Akhil N</t>
  </si>
  <si>
    <t>Sealer System technical specification shared for approval,Mahindra to confirm for futher ordering</t>
  </si>
  <si>
    <t>Ordering ;Approval for FFA15 &amp; BSA30 LH RH Systems receieved from Mahindra on 9TH Sep.
TKAB to review feasibilityfor Preform Sealant</t>
  </si>
  <si>
    <t>Rahul K</t>
  </si>
  <si>
    <t>UB Clamp queries shared, Mahindra to check &amp; provide feedback</t>
  </si>
  <si>
    <t>UB required PLP coordinates Shared.
Coordinates received from Mahindra on 8th Sep</t>
  </si>
  <si>
    <t>Confirmation on Pnuematic Component list as per mail from Vilas</t>
  </si>
  <si>
    <t>Discuseed in meeting ,Confirmation awaited via email</t>
  </si>
  <si>
    <t>Dnyaneshwar G</t>
  </si>
  <si>
    <t>Destaco rework check for Misumi Pins. As per Destaco Pin cylinder cannot be reworked</t>
  </si>
  <si>
    <t>Destaco to provide cylinders with rework.</t>
  </si>
  <si>
    <t>Roof Line existing reference data required for simulation</t>
  </si>
  <si>
    <t xml:space="preserve">Manual line activities reference cycle time required </t>
  </si>
  <si>
    <t>W610 reference to be used.</t>
  </si>
  <si>
    <t>Amol . G</t>
  </si>
  <si>
    <t>Sumit</t>
  </si>
  <si>
    <t xml:space="preserve">tkAB to optimize SEW motors, drives for PRB. </t>
  </si>
  <si>
    <t>Vilas</t>
  </si>
  <si>
    <t>Framer concept for CAB &amp; Cargo</t>
  </si>
  <si>
    <t>Framer concept shared.  Checked by Raghav &amp; Rahul K.
Tkab Proposed Z direction pnuematic working.
Approval for Pneumatic working received from Mahinrda in meeting dated 10th Sep 25</t>
  </si>
  <si>
    <t>Cylinder to be used for inner &amp; outer grippers. tkAB to check the same.</t>
  </si>
  <si>
    <t>Rohit</t>
  </si>
  <si>
    <t>Payload of Cargo UB &amp; MB to be freezed on priority.</t>
  </si>
  <si>
    <t xml:space="preserve">feedback provided on priority grippers as requested by Mahindra.
</t>
  </si>
  <si>
    <t>Prathamesh</t>
  </si>
  <si>
    <t>Obara JB box to considered big size</t>
  </si>
  <si>
    <t>Information</t>
  </si>
  <si>
    <t>Need to consider big Size JB</t>
  </si>
  <si>
    <t>Tri party Meeting to organize between Tkab ,Tuenkers &amp; SEW for PRB</t>
  </si>
  <si>
    <t>PRB POP UP Lifter Stroke fnalization in progress, Thenafter meeting will be organised</t>
  </si>
  <si>
    <t>Vias</t>
  </si>
  <si>
    <t>Pneumatic component aapproval ,Need confirmation on destaco clamps &amp; cylinders</t>
  </si>
  <si>
    <t>Mahindra to provide approval on series used as discussed in weekly review.</t>
  </si>
  <si>
    <t xml:space="preserve">
82P35- For under body hook pin clamp , 86P &amp; 86D for locating pin packages, 82M-4E- for Power clamps.
Rest all approved.
</t>
  </si>
  <si>
    <t>Harshal.B</t>
  </si>
  <si>
    <t>Clarification on station where variant boxes need to be considered</t>
  </si>
  <si>
    <t>As per email shared by Prashant .T</t>
  </si>
  <si>
    <t>Review of Robot Inside IO module and IO list details</t>
  </si>
  <si>
    <t>Will consider as per email shared by Prashant .T</t>
  </si>
  <si>
    <t>Shubham S</t>
  </si>
  <si>
    <t>The M900iB-330L robot appears to be approximately 25% slower than the standard weld robot R2000iC-210F-should we consider the same timing</t>
  </si>
  <si>
    <t>As per mail from Shubham we are considering 25% slow time</t>
  </si>
  <si>
    <t>Confirmation regarding SSW ( 4 sec/spot timing for robots with payloads of 400 kg and above) has been validated by M&amp;M -this robot tends to take longer for the weld operation plus movement to the next spot.</t>
  </si>
  <si>
    <t>To be considered as per mail from Shubham.</t>
  </si>
  <si>
    <t xml:space="preserve">Meeting request for process review to be organize for CAB ,Cargo &amp; closure </t>
  </si>
  <si>
    <t>Meeting started from 02-Sep,Cargo &amp; Closure on Tue,Wed &amp; thursday</t>
  </si>
  <si>
    <t>Tkab</t>
  </si>
  <si>
    <t>Fanuc motor details required for weld guns</t>
  </si>
  <si>
    <t>Required  approval for Tower Lamp model</t>
  </si>
  <si>
    <t>TKAb will Proceed with the Scheme for the tower lamp shard by Prashant T .</t>
  </si>
  <si>
    <t>Vaibhav Chavan</t>
  </si>
  <si>
    <t>Civil Utility with pit details</t>
  </si>
  <si>
    <t>Will be confirmed after concept DAP</t>
  </si>
  <si>
    <t>Shubham S + Prashant T</t>
  </si>
  <si>
    <t>Dresspack designs required from Becker</t>
  </si>
  <si>
    <t>Details recievd from Mahindra, TKAB checking the dresspack details, will share feedback.
Controls details required for ATC finalization</t>
  </si>
  <si>
    <t>Rushikesh K</t>
  </si>
  <si>
    <t>Rushikesh W</t>
  </si>
  <si>
    <t>Closure process clarification of RD_Q004 issue</t>
  </si>
  <si>
    <t xml:space="preserve">Feedback received from M&amp;M on 11th Sep,
TKAB will be concluding after Concept review,
Point discussed and closed with Mahindra
</t>
  </si>
  <si>
    <t>Need feedback regarding UB cargo Cycle Time overshoot</t>
  </si>
  <si>
    <t>received revised CSV ,TKAb will work on new inputs
tKAB provided feedbacks. Still issue in cycle time.</t>
  </si>
  <si>
    <t>Vikas P</t>
  </si>
  <si>
    <t>Dyaneshwar S</t>
  </si>
  <si>
    <t>Need feedback on Closure Line DFM</t>
  </si>
  <si>
    <t xml:space="preserve">Feedback received from M&amp;M on 11th Sep,
TKAB reviewing the feedback
</t>
  </si>
  <si>
    <t xml:space="preserve">Need to discuss &amp; have approval on Following Points:
1.Conceptual Review of Electrical Power and Ethernet Scheme
2.Robot Architecture Discussed &amp; need approval on same
3..Line Andon Electrical Scheme and Template Discussion
</t>
  </si>
  <si>
    <t xml:space="preserve">1.Conceptual Review of Electrical Power and Ethernet Scheme - Go ahaed given by M&amp;M on 24th Sep
2.Robot Architecture reviewed on 11-Sep- M &amp;M shared final remarks on 17th Sep and gave go ahead.
3.Andon Electrical Scheme and Template Discussion - Pending - 
M&amp;M will close by 8th Oct </t>
  </si>
  <si>
    <t>Push button make to be confirmed, Schnider or Teknic for all control boxes &amp; panel.</t>
  </si>
  <si>
    <t>Received go ahead from M&amp;M for Teknic Make  for all HMI/OP box/Gate Box.</t>
  </si>
  <si>
    <t>Mahindra to provide PLC IO configuration or actual PLC unit image for roof line to update PLC I|O's in drawing</t>
  </si>
  <si>
    <t>For roof line PLC-A panel- Agreed M&amp;M will provide PLC 1756-36/38ERMS during installation.</t>
  </si>
  <si>
    <t>Mahindra to share Comments on Query Sheet 008 mailed on 8th Sept for Closure Line</t>
  </si>
  <si>
    <t xml:space="preserve">Feedback received from M&amp;M on 12th Sep,
TKAB reviewing the feedback, will conclude after Concept Review
</t>
  </si>
  <si>
    <t>Mahindra to confirm whether use of ISRA Vision or FANUC Based Vision System</t>
  </si>
  <si>
    <t>Mahindra will close by 7th Oct</t>
  </si>
  <si>
    <t>UB 05 liftr PRB proposal to be shared</t>
  </si>
  <si>
    <t>Quotes awaited from Tunkers</t>
  </si>
  <si>
    <t>Vilas V</t>
  </si>
  <si>
    <t>Locking unit  of PRB to be centre mounted</t>
  </si>
  <si>
    <t>Mahindra to confirm RAL Code Schemes for Parts</t>
  </si>
  <si>
    <t>Mahindra confirmed to provide feedback by 3-Oct</t>
  </si>
  <si>
    <t>Mahindra has asked to change the design of Operator Box with new Concept and furthershare with Mahindra for Approval</t>
  </si>
  <si>
    <t>Prashant confirmed the design for Operator Box in a Meeting dated 24th Sep at TKAB Plant</t>
  </si>
  <si>
    <t>Mahindra to confirm Peripheral Standards, If same to be followed as that of BEV -
•Valve Bank Mounting Box 
•Light Curtain Mounting Stand
•Cylinder Covers
•HMI Stand
•Run Bar Stand
•Gripper Valve Bank Cover
•Water Header Stand
•Robot controller Stand.
•SJB Stand</t>
  </si>
  <si>
    <t>Mahindra confirmed to follow BEV standards</t>
  </si>
  <si>
    <t>Mahindra to plan Tri party Meeting with SEW to planned for order finalising</t>
  </si>
  <si>
    <t xml:space="preserve">Mahindra gave go  ahaed for odering of SEW after Tri Party Meeting with SEQ. </t>
  </si>
  <si>
    <t>25-05=25</t>
  </si>
  <si>
    <t>Dresspack Details and Control Connnectivity to Finalise ATC Ordering</t>
  </si>
  <si>
    <t>TKAB needs Dresspack details and Contril Connectivity standards from Mahndra for ATC Finalization
Mahindra to confirm the detaiils by 8th Oct</t>
  </si>
  <si>
    <t>Mahindra to provide a list where the Mylar chopping  is not affected and unit 2D can be finalized by tkAB. Mahindra informed that TTO data for mylar chopping will be freezed by 15-Oct.</t>
  </si>
  <si>
    <t>SIGNIFICANCE</t>
  </si>
  <si>
    <t>MAKER - thyssenkrupp Automotive Body Solutions Private Limited</t>
  </si>
  <si>
    <t>Project Start:</t>
  </si>
  <si>
    <t>PLAN</t>
  </si>
  <si>
    <t>DELAY</t>
  </si>
  <si>
    <t>PROJECT -Z121</t>
  </si>
  <si>
    <t>Today:</t>
  </si>
  <si>
    <t>ACTUAL</t>
  </si>
  <si>
    <t>CURRENT</t>
  </si>
  <si>
    <t>PM - SUMIT BABEL</t>
  </si>
  <si>
    <t>Display Week:</t>
  </si>
  <si>
    <t>Sr.No.</t>
  </si>
  <si>
    <t>ACTIVITY</t>
  </si>
  <si>
    <t>RESPONSIBLE</t>
  </si>
  <si>
    <t>PROGRESS</t>
  </si>
  <si>
    <t>START</t>
  </si>
  <si>
    <t>END</t>
  </si>
  <si>
    <t>ACTUAL VS PLAN</t>
  </si>
  <si>
    <t>DAYS</t>
  </si>
  <si>
    <t>Weld Line Design, DAP &amp; 2D Release</t>
  </si>
  <si>
    <t>PO /LOI</t>
  </si>
  <si>
    <t xml:space="preserve">Mahindra </t>
  </si>
  <si>
    <t>Project Kick-Off Meeting with Customer</t>
  </si>
  <si>
    <t>Mahindra /
 tkAB</t>
  </si>
  <si>
    <t>Product data &amp; document sharing</t>
  </si>
  <si>
    <t xml:space="preserve">Process Validation </t>
  </si>
  <si>
    <t>tkAB</t>
  </si>
  <si>
    <t>Process Review</t>
  </si>
  <si>
    <t>Concept 3D design</t>
  </si>
  <si>
    <t>Concept Design Review with Mahindra</t>
  </si>
  <si>
    <t>Long Lead BOM preparation &amp; approval from Mahindra</t>
  </si>
  <si>
    <t>PO for long lead items</t>
  </si>
  <si>
    <t>1.10</t>
  </si>
  <si>
    <t>3D Design</t>
  </si>
  <si>
    <t>FINAL _ DAP</t>
  </si>
  <si>
    <t>1.12</t>
  </si>
  <si>
    <t>Design updation ,Detailing &amp; Final Release</t>
  </si>
  <si>
    <t>1.13</t>
  </si>
  <si>
    <t>Electrical Design</t>
  </si>
  <si>
    <t>1.14</t>
  </si>
  <si>
    <t>Offline programming (PLC)</t>
  </si>
  <si>
    <t>FINAL _ Electrical  Design Review E -DAP &amp; corrections</t>
  </si>
  <si>
    <t>Simulation, OLP &amp; VC</t>
  </si>
  <si>
    <t>Robot simulation Concept</t>
  </si>
  <si>
    <t>Detailed Simulation</t>
  </si>
  <si>
    <t>FINAL _ Simulation Approval ( SAP )</t>
  </si>
  <si>
    <t>OLP Preparation</t>
  </si>
  <si>
    <t>OLP Submit</t>
  </si>
  <si>
    <t>FINAL _ OLP Approval ( OLP B/O )</t>
  </si>
  <si>
    <t>Final PLC&amp; HMI program submission</t>
  </si>
  <si>
    <t>IO mapped VC ready Simulation cells</t>
  </si>
  <si>
    <t>Virtual Commissioning testing &amp; validation</t>
  </si>
  <si>
    <t>FINAL _ Virtual Commissioning Buy-off</t>
  </si>
  <si>
    <t>Manufacturing, Assembly &amp; Self certify</t>
  </si>
  <si>
    <t>Manufacturing</t>
  </si>
  <si>
    <t>Long lead BO items receipt</t>
  </si>
  <si>
    <t>Mechanical &amp; Electrical assembly of fixtures</t>
  </si>
  <si>
    <t>CMM Inhouse, Gap Setting &amp; Part fitment</t>
  </si>
  <si>
    <t>IO check &amp; electrical check</t>
  </si>
  <si>
    <t>Supplier self certification - M1, M2, Controls, Process &amp; Electrical HW</t>
  </si>
  <si>
    <t>Limited Trial, Buy-off &amp; Dispatch</t>
  </si>
  <si>
    <t>M&amp;M Sample Check - Process, M1 &amp; M2</t>
  </si>
  <si>
    <t>M&amp;M Sample Check - Electrical HW &amp; Controls</t>
  </si>
  <si>
    <t>Open points closing</t>
  </si>
  <si>
    <t>FINAL _ Buy-off</t>
  </si>
  <si>
    <t>Dismantling &amp; Packing</t>
  </si>
  <si>
    <t>Shipping &amp; Receipt @ Chakan</t>
  </si>
  <si>
    <t xml:space="preserve">Onsite </t>
  </si>
  <si>
    <t>Line Installation</t>
  </si>
  <si>
    <t>Commissioning &amp;  Trial Build</t>
  </si>
  <si>
    <t>TTO</t>
  </si>
  <si>
    <t>Ready for VP Build</t>
  </si>
  <si>
    <t>Mahindra /
tkAB</t>
  </si>
  <si>
    <t>PROCUREMENT PLAN MAHINDRA Z121</t>
  </si>
  <si>
    <t>Sno</t>
  </si>
  <si>
    <t>Item</t>
  </si>
  <si>
    <t>Make</t>
  </si>
  <si>
    <t>Release required from</t>
  </si>
  <si>
    <t>Expected Release from Design</t>
  </si>
  <si>
    <t>Released Status</t>
  </si>
  <si>
    <t>RFQ Release from PSM (Planned)</t>
  </si>
  <si>
    <t>PO release to supplier (Planned)</t>
  </si>
  <si>
    <t>Min. STD Lead time
in Weeks</t>
  </si>
  <si>
    <t>Delivery Date required @ tkAB (Planned)</t>
  </si>
  <si>
    <t>Delivery date as per order acceptance</t>
  </si>
  <si>
    <t>REMARKS</t>
  </si>
  <si>
    <t>SEW</t>
  </si>
  <si>
    <t>Suyog C</t>
  </si>
  <si>
    <t>Ordering Done</t>
  </si>
  <si>
    <t>Turn Table with SEW Motor</t>
  </si>
  <si>
    <t>Trunion with SEW Motor</t>
  </si>
  <si>
    <t>AB</t>
  </si>
  <si>
    <t>Nilesh G</t>
  </si>
  <si>
    <t>DESTACO</t>
  </si>
  <si>
    <t>Shekhar P</t>
  </si>
  <si>
    <t>Lifter Mechanism for roof bow</t>
  </si>
  <si>
    <t>Impression System</t>
  </si>
  <si>
    <t>Awaited</t>
  </si>
  <si>
    <t>TUNKERS</t>
  </si>
  <si>
    <t>Roller bed without lifter</t>
  </si>
  <si>
    <t>ATC Tool side</t>
  </si>
  <si>
    <t>WALTHER</t>
  </si>
  <si>
    <t xml:space="preserve">Rohit </t>
  </si>
  <si>
    <t>Vision for Pick and Place</t>
  </si>
  <si>
    <t>FANUC</t>
  </si>
  <si>
    <t>APC Hanger</t>
  </si>
  <si>
    <t>tkab</t>
  </si>
  <si>
    <t>CKD</t>
  </si>
  <si>
    <t>Limit Switches</t>
  </si>
  <si>
    <t>Omron</t>
  </si>
  <si>
    <t>OBARA</t>
  </si>
  <si>
    <t>Proxi Sensors</t>
  </si>
  <si>
    <t>APC Conveyour</t>
  </si>
  <si>
    <t>HMI with stand</t>
  </si>
  <si>
    <t>ROCKWELL</t>
  </si>
  <si>
    <t>Roller Bearings, Rack, Pinion, Rails framer</t>
  </si>
  <si>
    <t>WINKEL</t>
  </si>
  <si>
    <t>Lubrication Fittings for framer</t>
  </si>
  <si>
    <t>PERMA-TEC</t>
  </si>
  <si>
    <t>Strip Brushes for framer</t>
  </si>
  <si>
    <t>Mink Bürsten</t>
  </si>
  <si>
    <t>Drive Shafts for framer</t>
  </si>
  <si>
    <t>Elbe</t>
  </si>
  <si>
    <t>Drag Chains for framer</t>
  </si>
  <si>
    <t>Igus</t>
  </si>
  <si>
    <t>Narayan M</t>
  </si>
  <si>
    <t>Shock absorber for Framer</t>
  </si>
  <si>
    <t>Ganter</t>
  </si>
  <si>
    <t>Bellow Covers for framer</t>
  </si>
  <si>
    <t>Hema</t>
  </si>
  <si>
    <t>Bearings for Framer</t>
  </si>
  <si>
    <t>INA / FAG</t>
  </si>
  <si>
    <t>Couplings for framer</t>
  </si>
  <si>
    <t>Ringspann</t>
  </si>
  <si>
    <t>Bearings for framer plummer block</t>
  </si>
  <si>
    <t>Schaeffler</t>
  </si>
  <si>
    <t>Bushes for framer</t>
  </si>
  <si>
    <t>Norelem</t>
  </si>
  <si>
    <t>FESTO</t>
  </si>
  <si>
    <t>ATC Robot side</t>
  </si>
  <si>
    <t xml:space="preserve">Vision for Robotic Sealant System </t>
  </si>
  <si>
    <t>KEYENCE</t>
  </si>
  <si>
    <t>MURR</t>
  </si>
  <si>
    <t>Weld Guns</t>
  </si>
  <si>
    <t>Received</t>
  </si>
  <si>
    <t>Robotic Sealant System</t>
  </si>
  <si>
    <t>PATVIN</t>
  </si>
  <si>
    <t xml:space="preserve"> </t>
  </si>
  <si>
    <t xml:space="preserve">Robotic Stud </t>
  </si>
  <si>
    <t>Tucker</t>
  </si>
  <si>
    <t>Robot controller plate BOM</t>
  </si>
  <si>
    <t>Local</t>
  </si>
  <si>
    <t>Harshal</t>
  </si>
  <si>
    <t>WATER HEADER</t>
  </si>
  <si>
    <t>SMC</t>
  </si>
  <si>
    <t>LOCAL</t>
  </si>
  <si>
    <t>Suction Cup ,Holder &amp; Vaccum Generator</t>
  </si>
  <si>
    <t>Hemming Beds</t>
  </si>
  <si>
    <t>Fences</t>
  </si>
  <si>
    <t>TROAX / INHOUSE</t>
  </si>
  <si>
    <t>EGT Profile</t>
  </si>
  <si>
    <t>F EE</t>
  </si>
  <si>
    <t>Panel Wiring Cables</t>
  </si>
  <si>
    <t>Lapp</t>
  </si>
  <si>
    <t>Oilless Bushes</t>
  </si>
  <si>
    <t>Sankyo</t>
  </si>
  <si>
    <t>Banner</t>
  </si>
  <si>
    <t>Vinay</t>
  </si>
  <si>
    <t>Vin Punching</t>
  </si>
  <si>
    <t>Gravotech</t>
  </si>
  <si>
    <t>Light Curtains</t>
  </si>
  <si>
    <t>Safety Mats</t>
  </si>
  <si>
    <t>Field Wiring Cables</t>
  </si>
  <si>
    <t>Rolling Shutter</t>
  </si>
  <si>
    <t>Avians/Nivha</t>
  </si>
  <si>
    <t>In process trollies</t>
  </si>
  <si>
    <t>Rahul.S</t>
  </si>
  <si>
    <t>Tackles</t>
  </si>
  <si>
    <t>Field Cable Trays</t>
  </si>
  <si>
    <t>FRP Templates</t>
  </si>
  <si>
    <t>Castor Wheels</t>
  </si>
  <si>
    <t>Water Hoses</t>
  </si>
  <si>
    <t>Andon Display</t>
  </si>
  <si>
    <t>Utility</t>
  </si>
  <si>
    <t>Nitin Shinde</t>
  </si>
  <si>
    <t>Robot Pedestals</t>
  </si>
  <si>
    <t>Adaptor Plate</t>
  </si>
  <si>
    <t>Variant Box</t>
  </si>
  <si>
    <t>Weld Timer Stands</t>
  </si>
  <si>
    <t>Dresspack Installation (Service scope Only)</t>
  </si>
  <si>
    <t>Becker</t>
  </si>
  <si>
    <t>Turk</t>
  </si>
  <si>
    <t>Siemens</t>
  </si>
  <si>
    <t xml:space="preserve">RFQ Released </t>
  </si>
  <si>
    <t>Goizeper</t>
  </si>
  <si>
    <t>Ordering Under Finalization</t>
  </si>
  <si>
    <t>ROCKWELL  Drives for Conveyor (PRB)</t>
  </si>
  <si>
    <t>In Transit</t>
  </si>
  <si>
    <t>Ready For Dispatch</t>
  </si>
  <si>
    <t>Partially Recieved</t>
  </si>
  <si>
    <t>Qty Required</t>
  </si>
  <si>
    <t>Tower Lamp/Status Lamp</t>
  </si>
  <si>
    <t>Qty Pending</t>
  </si>
  <si>
    <t>Gates</t>
  </si>
  <si>
    <t>ATC Parking Stands</t>
  </si>
  <si>
    <t>Rulers For Framers</t>
  </si>
  <si>
    <t xml:space="preserve">PRB Rollers </t>
  </si>
  <si>
    <t>Dugomrulli</t>
  </si>
  <si>
    <t>Euchner</t>
  </si>
  <si>
    <t>Gate Switches</t>
  </si>
  <si>
    <t>Pop Up Lifter</t>
  </si>
  <si>
    <t>Control Panel Mounting Clips/Terminal Blocks</t>
  </si>
  <si>
    <t>IDEC</t>
  </si>
  <si>
    <t xml:space="preserve">Guide Rollers </t>
  </si>
  <si>
    <t>Blickle</t>
  </si>
  <si>
    <t>IO Modules</t>
  </si>
  <si>
    <t>Disconect Switch/MCB/Spreader Links</t>
  </si>
  <si>
    <t>ATC Cables</t>
  </si>
  <si>
    <t>Harting Connectors</t>
  </si>
  <si>
    <t>Harting</t>
  </si>
  <si>
    <t>Weforma</t>
  </si>
  <si>
    <t>PIAB</t>
  </si>
  <si>
    <t>CKD Brake Cylinders</t>
  </si>
  <si>
    <t xml:space="preserve">Power Cylinders (Clamp/Guide./Compact) &amp; Fittings </t>
  </si>
  <si>
    <t>Yasung</t>
  </si>
  <si>
    <t>Vertaxis</t>
  </si>
  <si>
    <t>NASH</t>
  </si>
  <si>
    <t>BALLUFF</t>
  </si>
  <si>
    <t>PRB Sensors</t>
  </si>
  <si>
    <t>MISUMI</t>
  </si>
  <si>
    <t>Pins and Profiles</t>
  </si>
  <si>
    <t>PRB Timing Belts</t>
  </si>
  <si>
    <t>GI</t>
  </si>
  <si>
    <t>Under Design</t>
  </si>
  <si>
    <t>FD, RD, TG Casting Ready</t>
  </si>
  <si>
    <t>Biometric SW Cable</t>
  </si>
  <si>
    <t>SCHNEIDER</t>
  </si>
  <si>
    <t>Qty Received</t>
  </si>
  <si>
    <t>Budget</t>
  </si>
  <si>
    <t>Approval Details</t>
  </si>
  <si>
    <t>FESTO equipments</t>
  </si>
  <si>
    <t>SEW Drives / Motor / Cable</t>
  </si>
  <si>
    <t>Ethernet Cables / Sensor Cables/Connection Cables</t>
  </si>
  <si>
    <t>WATER SAVER / Weld Guns / Tip Dresser with stands</t>
  </si>
  <si>
    <t>Vilas / Rohit</t>
  </si>
  <si>
    <t>Control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</si>
</sst>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43" formatCode="_ * #,##0.00_ ;_ * \-#,##0.00_ ;_ * &quot;-&quot;??_ ;_ @_ "/>
    <numFmt numFmtId="164" formatCode="[$-409]d/mmm/yy;@"/>
    <numFmt numFmtId="165" formatCode="mmm\ d\,\ yyyy"/>
    <numFmt numFmtId="166" formatCode="d"/>
    <numFmt numFmtId="167" formatCode="[$-409]d&quot;-&quot;mmm&quot;-&quot;yy;@"/>
    <numFmt numFmtId="168" formatCode="[$-409]d&quot;-&quot;mmm;@"/>
    <numFmt numFmtId="169" formatCode="[$-409]dd\-mmm\-yy;@"/>
  </numFmts>
  <fonts count="7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 tint="0.34998626667073579"/>
      <name val="Cambria"/>
      <family val="2"/>
      <scheme val="major"/>
    </font>
    <font>
      <b/>
      <sz val="20"/>
      <color theme="4" tint="-0.249977111117893"/>
      <name val="Cambria"/>
      <family val="2"/>
      <scheme val="major"/>
    </font>
    <font>
      <u/>
      <sz val="11"/>
      <color indexed="12"/>
      <name val="Arial"/>
      <family val="2"/>
    </font>
    <font>
      <u/>
      <sz val="9"/>
      <color theme="4" tint="-0.249977111117893"/>
      <name val="Arial"/>
      <family val="2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돋움"/>
      <charset val="134"/>
    </font>
    <font>
      <sz val="1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indexed="53"/>
      <name val="Arial"/>
      <family val="2"/>
    </font>
    <font>
      <b/>
      <u/>
      <sz val="36"/>
      <color rgb="FF7030A0"/>
      <name val="Arial"/>
      <family val="2"/>
    </font>
    <font>
      <b/>
      <sz val="28"/>
      <color rgb="FF7030A0"/>
      <name val="Arial"/>
      <family val="2"/>
    </font>
    <font>
      <b/>
      <sz val="16"/>
      <color rgb="FF7030A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trike/>
      <sz val="16"/>
      <color rgb="FF000000"/>
      <name val="Arial"/>
      <family val="2"/>
    </font>
    <font>
      <sz val="16"/>
      <color rgb="FF000000"/>
      <name val="Arial"/>
      <family val="2"/>
    </font>
    <font>
      <sz val="11"/>
      <color theme="1" tint="4.9989318521683403E-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rgb="FF000000"/>
      </patternFill>
    </fill>
    <fill>
      <patternFill patternType="solid">
        <fgColor theme="6" tint="0.59999389629810485"/>
        <bgColor indexed="64"/>
      </patternFill>
    </fill>
  </fills>
  <borders count="8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indexed="64"/>
      </top>
      <bottom style="medium">
        <color theme="0" tint="-0.14996795556505021"/>
      </bottom>
      <diagonal/>
    </border>
    <border>
      <left style="hair">
        <color rgb="FF969696"/>
      </left>
      <right style="hair">
        <color rgb="FF969696"/>
      </right>
      <top style="medium">
        <color indexed="64"/>
      </top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hair">
        <color rgb="FF969696"/>
      </left>
      <right style="hair">
        <color rgb="FF969696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indexed="64"/>
      </bottom>
      <diagonal/>
    </border>
    <border>
      <left style="hair">
        <color rgb="FF969696"/>
      </left>
      <right style="hair">
        <color rgb="FF969696"/>
      </right>
      <top style="medium">
        <color theme="0" tint="-0.14996795556505021"/>
      </top>
      <bottom style="medium">
        <color indexed="64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/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</borders>
  <cellStyleXfs count="36">
    <xf numFmtId="0" fontId="0" fillId="0" borderId="0"/>
    <xf numFmtId="0" fontId="33" fillId="0" borderId="0"/>
    <xf numFmtId="0" fontId="34" fillId="0" borderId="0"/>
    <xf numFmtId="0" fontId="33" fillId="0" borderId="0"/>
    <xf numFmtId="0" fontId="30" fillId="0" borderId="0"/>
    <xf numFmtId="0" fontId="40" fillId="0" borderId="0" applyNumberFormat="0" applyFill="0" applyBorder="0" applyAlignment="0" applyProtection="0">
      <alignment vertical="top"/>
      <protection locked="0"/>
    </xf>
    <xf numFmtId="9" fontId="30" fillId="0" borderId="0" applyFont="0" applyFill="0" applyBorder="0" applyAlignment="0" applyProtection="0"/>
    <xf numFmtId="0" fontId="4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41" fontId="27" fillId="0" borderId="0" applyFont="0" applyFill="0" applyBorder="0" applyAlignment="0" applyProtection="0"/>
    <xf numFmtId="0" fontId="26" fillId="0" borderId="0"/>
    <xf numFmtId="0" fontId="26" fillId="0" borderId="0"/>
    <xf numFmtId="0" fontId="25" fillId="0" borderId="52" applyFill="0">
      <alignment horizontal="left" vertical="center" indent="2"/>
    </xf>
    <xf numFmtId="9" fontId="25" fillId="0" borderId="0" applyFont="0" applyFill="0" applyBorder="0" applyAlignment="0" applyProtection="0"/>
    <xf numFmtId="0" fontId="24" fillId="0" borderId="0"/>
    <xf numFmtId="0" fontId="24" fillId="0" borderId="52" applyFill="0">
      <alignment horizontal="left" vertical="center" indent="2"/>
    </xf>
    <xf numFmtId="9" fontId="24" fillId="0" borderId="0" applyFont="0" applyFill="0" applyBorder="0" applyAlignment="0" applyProtection="0"/>
    <xf numFmtId="0" fontId="23" fillId="0" borderId="0"/>
    <xf numFmtId="0" fontId="65" fillId="22" borderId="0" applyNumberFormat="0" applyBorder="0" applyAlignment="0" applyProtection="0"/>
    <xf numFmtId="0" fontId="22" fillId="0" borderId="0"/>
    <xf numFmtId="0" fontId="21" fillId="0" borderId="0"/>
    <xf numFmtId="0" fontId="20" fillId="0" borderId="0"/>
    <xf numFmtId="9" fontId="20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0" fontId="15" fillId="0" borderId="0"/>
  </cellStyleXfs>
  <cellXfs count="321">
    <xf numFmtId="0" fontId="0" fillId="0" borderId="0" xfId="0"/>
    <xf numFmtId="0" fontId="30" fillId="0" borderId="1" xfId="4" applyBorder="1"/>
    <xf numFmtId="0" fontId="30" fillId="0" borderId="2" xfId="4" applyBorder="1"/>
    <xf numFmtId="0" fontId="38" fillId="0" borderId="2" xfId="4" applyFont="1" applyBorder="1"/>
    <xf numFmtId="0" fontId="39" fillId="0" borderId="2" xfId="4" applyFont="1" applyBorder="1" applyAlignment="1">
      <alignment horizontal="left"/>
    </xf>
    <xf numFmtId="0" fontId="30" fillId="0" borderId="0" xfId="4"/>
    <xf numFmtId="0" fontId="35" fillId="0" borderId="0" xfId="4" applyFont="1"/>
    <xf numFmtId="0" fontId="30" fillId="0" borderId="0" xfId="4" applyAlignment="1">
      <alignment horizontal="right" vertical="center"/>
    </xf>
    <xf numFmtId="164" fontId="30" fillId="0" borderId="0" xfId="4" applyNumberFormat="1" applyAlignment="1">
      <alignment horizontal="center" vertical="center"/>
    </xf>
    <xf numFmtId="0" fontId="30" fillId="0" borderId="45" xfId="4" applyBorder="1" applyAlignment="1">
      <alignment horizontal="center" vertical="center"/>
    </xf>
    <xf numFmtId="0" fontId="30" fillId="0" borderId="3" xfId="4" applyBorder="1" applyAlignment="1">
      <alignment horizontal="right" vertical="center"/>
    </xf>
    <xf numFmtId="0" fontId="30" fillId="0" borderId="0" xfId="4" applyAlignment="1">
      <alignment horizontal="center"/>
    </xf>
    <xf numFmtId="166" fontId="42" fillId="9" borderId="49" xfId="4" applyNumberFormat="1" applyFont="1" applyFill="1" applyBorder="1" applyAlignment="1">
      <alignment horizontal="center" vertical="center"/>
    </xf>
    <xf numFmtId="166" fontId="42" fillId="9" borderId="0" xfId="4" applyNumberFormat="1" applyFont="1" applyFill="1" applyAlignment="1">
      <alignment horizontal="center" vertical="center"/>
    </xf>
    <xf numFmtId="166" fontId="42" fillId="9" borderId="50" xfId="4" applyNumberFormat="1" applyFont="1" applyFill="1" applyBorder="1" applyAlignment="1">
      <alignment horizontal="center" vertical="center"/>
    </xf>
    <xf numFmtId="0" fontId="43" fillId="10" borderId="40" xfId="4" applyFont="1" applyFill="1" applyBorder="1" applyAlignment="1">
      <alignment vertical="center"/>
    </xf>
    <xf numFmtId="0" fontId="43" fillId="10" borderId="2" xfId="4" applyFont="1" applyFill="1" applyBorder="1" applyAlignment="1">
      <alignment horizontal="center" vertical="center" wrapText="1"/>
    </xf>
    <xf numFmtId="0" fontId="43" fillId="10" borderId="40" xfId="4" applyFont="1" applyFill="1" applyBorder="1" applyAlignment="1">
      <alignment horizontal="center" vertical="center" wrapText="1"/>
    </xf>
    <xf numFmtId="0" fontId="43" fillId="10" borderId="47" xfId="4" applyFont="1" applyFill="1" applyBorder="1" applyAlignment="1">
      <alignment horizontal="center" vertical="center" wrapText="1"/>
    </xf>
    <xf numFmtId="0" fontId="44" fillId="11" borderId="51" xfId="4" applyFont="1" applyFill="1" applyBorder="1" applyAlignment="1">
      <alignment horizontal="center" vertical="center" shrinkToFit="1"/>
    </xf>
    <xf numFmtId="0" fontId="44" fillId="11" borderId="50" xfId="4" applyFont="1" applyFill="1" applyBorder="1" applyAlignment="1">
      <alignment horizontal="center" vertical="center" shrinkToFit="1"/>
    </xf>
    <xf numFmtId="0" fontId="45" fillId="0" borderId="52" xfId="4" applyFont="1" applyBorder="1" applyAlignment="1">
      <alignment horizontal="center" vertical="center"/>
    </xf>
    <xf numFmtId="0" fontId="30" fillId="0" borderId="53" xfId="4" applyBorder="1" applyAlignment="1">
      <alignment vertical="center"/>
    </xf>
    <xf numFmtId="0" fontId="30" fillId="0" borderId="54" xfId="4" applyBorder="1" applyAlignment="1">
      <alignment vertical="center"/>
    </xf>
    <xf numFmtId="0" fontId="30" fillId="0" borderId="55" xfId="4" applyBorder="1" applyAlignment="1">
      <alignment vertical="center"/>
    </xf>
    <xf numFmtId="0" fontId="30" fillId="0" borderId="56" xfId="4" applyBorder="1" applyAlignment="1">
      <alignment vertical="center"/>
    </xf>
    <xf numFmtId="0" fontId="30" fillId="0" borderId="57" xfId="4" applyBorder="1" applyAlignment="1">
      <alignment vertical="center"/>
    </xf>
    <xf numFmtId="0" fontId="30" fillId="0" borderId="58" xfId="4" applyBorder="1" applyAlignment="1">
      <alignment vertical="center"/>
    </xf>
    <xf numFmtId="0" fontId="30" fillId="0" borderId="0" xfId="4" applyAlignment="1">
      <alignment vertical="center"/>
    </xf>
    <xf numFmtId="0" fontId="30" fillId="0" borderId="59" xfId="4" applyBorder="1" applyAlignment="1">
      <alignment vertical="center"/>
    </xf>
    <xf numFmtId="0" fontId="30" fillId="0" borderId="60" xfId="4" applyBorder="1" applyAlignment="1">
      <alignment vertical="center"/>
    </xf>
    <xf numFmtId="0" fontId="30" fillId="0" borderId="61" xfId="4" applyBorder="1" applyAlignment="1">
      <alignment vertical="center"/>
    </xf>
    <xf numFmtId="0" fontId="30" fillId="0" borderId="62" xfId="4" applyBorder="1" applyAlignment="1">
      <alignment vertical="center"/>
    </xf>
    <xf numFmtId="0" fontId="30" fillId="0" borderId="63" xfId="4" applyBorder="1" applyAlignment="1">
      <alignment vertical="center"/>
    </xf>
    <xf numFmtId="0" fontId="30" fillId="0" borderId="64" xfId="4" applyBorder="1" applyAlignment="1">
      <alignment vertical="center"/>
    </xf>
    <xf numFmtId="0" fontId="45" fillId="0" borderId="52" xfId="4" applyFont="1" applyBorder="1" applyAlignment="1">
      <alignment horizontal="left" vertical="center"/>
    </xf>
    <xf numFmtId="0" fontId="30" fillId="0" borderId="60" xfId="4" applyBorder="1" applyAlignment="1">
      <alignment horizontal="right" vertical="center"/>
    </xf>
    <xf numFmtId="0" fontId="45" fillId="16" borderId="52" xfId="4" applyFont="1" applyFill="1" applyBorder="1" applyAlignment="1">
      <alignment horizontal="center" vertical="center"/>
    </xf>
    <xf numFmtId="0" fontId="41" fillId="0" borderId="2" xfId="5" applyFont="1" applyBorder="1" applyAlignment="1" applyProtection="1">
      <alignment vertical="center"/>
    </xf>
    <xf numFmtId="0" fontId="35" fillId="0" borderId="3" xfId="4" applyFont="1" applyBorder="1" applyAlignment="1">
      <alignment vertical="top"/>
    </xf>
    <xf numFmtId="0" fontId="35" fillId="0" borderId="0" xfId="4" applyFont="1" applyAlignment="1">
      <alignment vertical="top"/>
    </xf>
    <xf numFmtId="0" fontId="50" fillId="0" borderId="61" xfId="4" applyFont="1" applyBorder="1" applyAlignment="1">
      <alignment vertical="center"/>
    </xf>
    <xf numFmtId="0" fontId="30" fillId="0" borderId="65" xfId="4" applyBorder="1" applyAlignment="1">
      <alignment vertical="center"/>
    </xf>
    <xf numFmtId="0" fontId="30" fillId="0" borderId="66" xfId="4" applyBorder="1" applyAlignment="1">
      <alignment vertical="center"/>
    </xf>
    <xf numFmtId="0" fontId="30" fillId="0" borderId="71" xfId="4" applyBorder="1" applyAlignment="1">
      <alignment vertical="center"/>
    </xf>
    <xf numFmtId="0" fontId="30" fillId="0" borderId="72" xfId="4" applyBorder="1" applyAlignment="1">
      <alignment vertical="center"/>
    </xf>
    <xf numFmtId="0" fontId="30" fillId="0" borderId="73" xfId="4" applyBorder="1" applyAlignment="1">
      <alignment vertical="center"/>
    </xf>
    <xf numFmtId="0" fontId="30" fillId="0" borderId="67" xfId="4" applyBorder="1" applyAlignment="1">
      <alignment vertical="center"/>
    </xf>
    <xf numFmtId="0" fontId="43" fillId="10" borderId="11" xfId="4" applyFont="1" applyFill="1" applyBorder="1" applyAlignment="1">
      <alignment horizontal="center" vertical="center" wrapText="1"/>
    </xf>
    <xf numFmtId="164" fontId="24" fillId="7" borderId="24" xfId="20" applyNumberFormat="1" applyFill="1" applyBorder="1" applyAlignment="1">
      <alignment horizontal="center" vertical="center"/>
    </xf>
    <xf numFmtId="164" fontId="24" fillId="7" borderId="25" xfId="20" applyNumberFormat="1" applyFill="1" applyBorder="1" applyAlignment="1">
      <alignment horizontal="center" vertical="center"/>
    </xf>
    <xf numFmtId="164" fontId="24" fillId="7" borderId="27" xfId="20" applyNumberFormat="1" applyFill="1" applyBorder="1" applyAlignment="1">
      <alignment horizontal="center" vertical="center"/>
    </xf>
    <xf numFmtId="164" fontId="24" fillId="7" borderId="9" xfId="20" applyNumberFormat="1" applyFill="1" applyBorder="1" applyAlignment="1">
      <alignment horizontal="center" vertical="center"/>
    </xf>
    <xf numFmtId="9" fontId="49" fillId="7" borderId="22" xfId="6" applyFont="1" applyFill="1" applyBorder="1" applyAlignment="1">
      <alignment horizontal="center" vertical="center"/>
    </xf>
    <xf numFmtId="164" fontId="31" fillId="7" borderId="24" xfId="4" applyNumberFormat="1" applyFont="1" applyFill="1" applyBorder="1" applyAlignment="1">
      <alignment horizontal="center" vertical="center"/>
    </xf>
    <xf numFmtId="164" fontId="31" fillId="7" borderId="25" xfId="4" applyNumberFormat="1" applyFont="1" applyFill="1" applyBorder="1" applyAlignment="1">
      <alignment horizontal="center" vertical="center"/>
    </xf>
    <xf numFmtId="164" fontId="31" fillId="12" borderId="26" xfId="4" applyNumberFormat="1" applyFont="1" applyFill="1" applyBorder="1" applyAlignment="1">
      <alignment horizontal="center" vertical="center"/>
    </xf>
    <xf numFmtId="164" fontId="31" fillId="7" borderId="27" xfId="4" applyNumberFormat="1" applyFont="1" applyFill="1" applyBorder="1" applyAlignment="1">
      <alignment horizontal="center" vertical="center"/>
    </xf>
    <xf numFmtId="164" fontId="31" fillId="7" borderId="9" xfId="4" applyNumberFormat="1" applyFont="1" applyFill="1" applyBorder="1" applyAlignment="1">
      <alignment horizontal="center" vertical="center"/>
    </xf>
    <xf numFmtId="164" fontId="31" fillId="4" borderId="28" xfId="4" applyNumberFormat="1" applyFont="1" applyFill="1" applyBorder="1" applyAlignment="1">
      <alignment horizontal="center" vertical="center"/>
    </xf>
    <xf numFmtId="164" fontId="31" fillId="12" borderId="28" xfId="4" applyNumberFormat="1" applyFont="1" applyFill="1" applyBorder="1" applyAlignment="1">
      <alignment horizontal="center" vertical="center"/>
    </xf>
    <xf numFmtId="9" fontId="63" fillId="7" borderId="22" xfId="6" applyFont="1" applyFill="1" applyBorder="1" applyAlignment="1">
      <alignment horizontal="center" vertical="center"/>
    </xf>
    <xf numFmtId="164" fontId="62" fillId="7" borderId="27" xfId="4" applyNumberFormat="1" applyFont="1" applyFill="1" applyBorder="1" applyAlignment="1">
      <alignment horizontal="center" vertical="center"/>
    </xf>
    <xf numFmtId="164" fontId="62" fillId="7" borderId="9" xfId="4" applyNumberFormat="1" applyFont="1" applyFill="1" applyBorder="1" applyAlignment="1">
      <alignment horizontal="center" vertical="center"/>
    </xf>
    <xf numFmtId="9" fontId="63" fillId="7" borderId="23" xfId="6" applyFont="1" applyFill="1" applyBorder="1" applyAlignment="1">
      <alignment horizontal="center" vertical="center"/>
    </xf>
    <xf numFmtId="164" fontId="62" fillId="7" borderId="10" xfId="4" applyNumberFormat="1" applyFont="1" applyFill="1" applyBorder="1" applyAlignment="1">
      <alignment horizontal="center" vertical="center"/>
    </xf>
    <xf numFmtId="164" fontId="31" fillId="4" borderId="30" xfId="4" applyNumberFormat="1" applyFont="1" applyFill="1" applyBorder="1" applyAlignment="1">
      <alignment horizontal="center" vertical="center"/>
    </xf>
    <xf numFmtId="164" fontId="62" fillId="7" borderId="13" xfId="4" applyNumberFormat="1" applyFont="1" applyFill="1" applyBorder="1" applyAlignment="1">
      <alignment horizontal="center" vertical="center"/>
    </xf>
    <xf numFmtId="164" fontId="62" fillId="7" borderId="14" xfId="4" applyNumberFormat="1" applyFont="1" applyFill="1" applyBorder="1" applyAlignment="1">
      <alignment horizontal="center" vertical="center"/>
    </xf>
    <xf numFmtId="164" fontId="31" fillId="4" borderId="29" xfId="4" applyNumberFormat="1" applyFont="1" applyFill="1" applyBorder="1" applyAlignment="1">
      <alignment horizontal="center" vertical="center"/>
    </xf>
    <xf numFmtId="164" fontId="31" fillId="7" borderId="16" xfId="4" applyNumberFormat="1" applyFont="1" applyFill="1" applyBorder="1" applyAlignment="1">
      <alignment horizontal="center" vertical="center"/>
    </xf>
    <xf numFmtId="164" fontId="31" fillId="7" borderId="8" xfId="4" applyNumberFormat="1" applyFont="1" applyFill="1" applyBorder="1" applyAlignment="1">
      <alignment horizontal="center" vertical="center"/>
    </xf>
    <xf numFmtId="164" fontId="31" fillId="12" borderId="31" xfId="4" applyNumberFormat="1" applyFont="1" applyFill="1" applyBorder="1" applyAlignment="1">
      <alignment horizontal="center" vertical="center"/>
    </xf>
    <xf numFmtId="164" fontId="31" fillId="7" borderId="17" xfId="4" applyNumberFormat="1" applyFont="1" applyFill="1" applyBorder="1" applyAlignment="1">
      <alignment horizontal="center" vertical="center"/>
    </xf>
    <xf numFmtId="164" fontId="31" fillId="7" borderId="41" xfId="4" applyNumberFormat="1" applyFont="1" applyFill="1" applyBorder="1" applyAlignment="1">
      <alignment horizontal="center" vertical="center"/>
    </xf>
    <xf numFmtId="164" fontId="31" fillId="7" borderId="37" xfId="4" applyNumberFormat="1" applyFont="1" applyFill="1" applyBorder="1" applyAlignment="1">
      <alignment horizontal="center" vertical="center"/>
    </xf>
    <xf numFmtId="164" fontId="31" fillId="7" borderId="14" xfId="4" applyNumberFormat="1" applyFont="1" applyFill="1" applyBorder="1" applyAlignment="1">
      <alignment horizontal="center" vertical="center"/>
    </xf>
    <xf numFmtId="9" fontId="63" fillId="7" borderId="21" xfId="6" applyFont="1" applyFill="1" applyBorder="1" applyAlignment="1">
      <alignment horizontal="center" vertical="center"/>
    </xf>
    <xf numFmtId="164" fontId="62" fillId="7" borderId="17" xfId="4" applyNumberFormat="1" applyFont="1" applyFill="1" applyBorder="1" applyAlignment="1">
      <alignment horizontal="center" vertical="center"/>
    </xf>
    <xf numFmtId="164" fontId="62" fillId="7" borderId="36" xfId="4" applyNumberFormat="1" applyFont="1" applyFill="1" applyBorder="1" applyAlignment="1">
      <alignment horizontal="center" vertical="center"/>
    </xf>
    <xf numFmtId="164" fontId="62" fillId="7" borderId="25" xfId="4" applyNumberFormat="1" applyFont="1" applyFill="1" applyBorder="1" applyAlignment="1">
      <alignment horizontal="center" vertical="center"/>
    </xf>
    <xf numFmtId="0" fontId="64" fillId="0" borderId="9" xfId="0" applyFont="1" applyBorder="1" applyAlignment="1">
      <alignment vertical="center" wrapText="1"/>
    </xf>
    <xf numFmtId="164" fontId="31" fillId="7" borderId="38" xfId="4" applyNumberFormat="1" applyFont="1" applyFill="1" applyBorder="1" applyAlignment="1">
      <alignment horizontal="center" vertical="center"/>
    </xf>
    <xf numFmtId="164" fontId="31" fillId="7" borderId="10" xfId="4" applyNumberFormat="1" applyFont="1" applyFill="1" applyBorder="1" applyAlignment="1">
      <alignment horizontal="center" vertical="center"/>
    </xf>
    <xf numFmtId="0" fontId="32" fillId="0" borderId="2" xfId="4" applyFont="1" applyBorder="1"/>
    <xf numFmtId="0" fontId="32" fillId="0" borderId="2" xfId="4" applyFont="1" applyBorder="1" applyAlignment="1">
      <alignment horizontal="center"/>
    </xf>
    <xf numFmtId="0" fontId="32" fillId="0" borderId="2" xfId="4" applyFont="1" applyBorder="1" applyAlignment="1">
      <alignment horizontal="right" vertical="center"/>
    </xf>
    <xf numFmtId="9" fontId="63" fillId="7" borderId="34" xfId="6" applyFont="1" applyFill="1" applyBorder="1" applyAlignment="1">
      <alignment horizontal="center" vertical="center"/>
    </xf>
    <xf numFmtId="164" fontId="62" fillId="7" borderId="16" xfId="4" applyNumberFormat="1" applyFont="1" applyFill="1" applyBorder="1" applyAlignment="1">
      <alignment horizontal="center" vertical="center"/>
    </xf>
    <xf numFmtId="164" fontId="62" fillId="7" borderId="8" xfId="4" applyNumberFormat="1" applyFont="1" applyFill="1" applyBorder="1" applyAlignment="1">
      <alignment horizontal="center" vertical="center"/>
    </xf>
    <xf numFmtId="164" fontId="31" fillId="7" borderId="36" xfId="4" applyNumberFormat="1" applyFont="1" applyFill="1" applyBorder="1" applyAlignment="1">
      <alignment horizontal="center" vertical="center"/>
    </xf>
    <xf numFmtId="9" fontId="63" fillId="7" borderId="32" xfId="6" applyFont="1" applyFill="1" applyBorder="1" applyAlignment="1">
      <alignment horizontal="center" vertical="center"/>
    </xf>
    <xf numFmtId="164" fontId="62" fillId="7" borderId="19" xfId="4" applyNumberFormat="1" applyFont="1" applyFill="1" applyBorder="1" applyAlignment="1">
      <alignment horizontal="center" vertical="center"/>
    </xf>
    <xf numFmtId="0" fontId="45" fillId="0" borderId="77" xfId="4" applyFont="1" applyBorder="1" applyAlignment="1">
      <alignment horizontal="center" vertical="center"/>
    </xf>
    <xf numFmtId="0" fontId="45" fillId="0" borderId="76" xfId="4" applyFont="1" applyBorder="1" applyAlignment="1">
      <alignment horizontal="center" vertical="center"/>
    </xf>
    <xf numFmtId="0" fontId="45" fillId="0" borderId="78" xfId="4" applyFont="1" applyBorder="1" applyAlignment="1">
      <alignment horizontal="center" vertical="center"/>
    </xf>
    <xf numFmtId="0" fontId="45" fillId="0" borderId="79" xfId="4" applyFont="1" applyBorder="1" applyAlignment="1">
      <alignment horizontal="center" vertical="center"/>
    </xf>
    <xf numFmtId="0" fontId="30" fillId="0" borderId="5" xfId="4" applyBorder="1"/>
    <xf numFmtId="0" fontId="45" fillId="0" borderId="80" xfId="4" applyFont="1" applyBorder="1" applyAlignment="1">
      <alignment horizontal="center" vertical="center"/>
    </xf>
    <xf numFmtId="0" fontId="45" fillId="0" borderId="81" xfId="4" applyFont="1" applyBorder="1" applyAlignment="1">
      <alignment horizontal="center" vertical="center"/>
    </xf>
    <xf numFmtId="0" fontId="45" fillId="0" borderId="82" xfId="4" applyFont="1" applyBorder="1" applyAlignment="1">
      <alignment horizontal="center" vertical="center"/>
    </xf>
    <xf numFmtId="169" fontId="65" fillId="0" borderId="9" xfId="24" applyNumberFormat="1" applyFill="1" applyBorder="1" applyAlignment="1">
      <alignment horizontal="center" vertical="center"/>
    </xf>
    <xf numFmtId="0" fontId="60" fillId="0" borderId="9" xfId="0" applyFont="1" applyBorder="1" applyAlignment="1">
      <alignment horizontal="center" vertical="center" wrapText="1"/>
    </xf>
    <xf numFmtId="0" fontId="60" fillId="0" borderId="16" xfId="0" applyFont="1" applyBorder="1" applyAlignment="1">
      <alignment wrapText="1"/>
    </xf>
    <xf numFmtId="0" fontId="60" fillId="0" borderId="17" xfId="0" applyFont="1" applyBorder="1" applyAlignment="1">
      <alignment wrapText="1"/>
    </xf>
    <xf numFmtId="0" fontId="53" fillId="0" borderId="0" xfId="31" applyFont="1" applyAlignment="1" applyProtection="1">
      <alignment horizontal="center" vertical="center"/>
      <protection locked="0"/>
    </xf>
    <xf numFmtId="0" fontId="56" fillId="3" borderId="9" xfId="31" applyFont="1" applyFill="1" applyBorder="1" applyAlignment="1" applyProtection="1">
      <alignment vertical="center"/>
      <protection locked="0"/>
    </xf>
    <xf numFmtId="0" fontId="56" fillId="19" borderId="9" xfId="31" applyFont="1" applyFill="1" applyBorder="1" applyAlignment="1" applyProtection="1">
      <alignment horizontal="center"/>
      <protection locked="0"/>
    </xf>
    <xf numFmtId="0" fontId="55" fillId="19" borderId="0" xfId="31" applyFont="1" applyFill="1" applyAlignment="1" applyProtection="1">
      <alignment vertical="center" wrapText="1"/>
      <protection locked="0"/>
    </xf>
    <xf numFmtId="0" fontId="57" fillId="0" borderId="0" xfId="31" applyFont="1" applyAlignment="1" applyProtection="1">
      <alignment vertical="center"/>
      <protection locked="0"/>
    </xf>
    <xf numFmtId="0" fontId="56" fillId="5" borderId="9" xfId="31" applyFont="1" applyFill="1" applyBorder="1" applyAlignment="1" applyProtection="1">
      <alignment vertical="center"/>
      <protection locked="0"/>
    </xf>
    <xf numFmtId="0" fontId="56" fillId="18" borderId="9" xfId="31" applyFont="1" applyFill="1" applyBorder="1" applyAlignment="1" applyProtection="1">
      <alignment vertical="center"/>
      <protection locked="0"/>
    </xf>
    <xf numFmtId="0" fontId="56" fillId="19" borderId="9" xfId="31" applyFont="1" applyFill="1" applyBorder="1" applyAlignment="1" applyProtection="1">
      <alignment vertical="center"/>
      <protection locked="0"/>
    </xf>
    <xf numFmtId="0" fontId="55" fillId="19" borderId="69" xfId="31" applyFont="1" applyFill="1" applyBorder="1" applyAlignment="1" applyProtection="1">
      <alignment vertical="center" wrapText="1"/>
      <protection locked="0"/>
    </xf>
    <xf numFmtId="0" fontId="58" fillId="20" borderId="10" xfId="31" applyFont="1" applyFill="1" applyBorder="1" applyAlignment="1" applyProtection="1">
      <alignment vertical="center" wrapText="1"/>
      <protection locked="0"/>
    </xf>
    <xf numFmtId="0" fontId="58" fillId="20" borderId="10" xfId="31" applyFont="1" applyFill="1" applyBorder="1" applyAlignment="1" applyProtection="1">
      <alignment horizontal="center" vertical="center" wrapText="1"/>
      <protection locked="0"/>
    </xf>
    <xf numFmtId="0" fontId="58" fillId="20" borderId="9" xfId="31" applyFont="1" applyFill="1" applyBorder="1" applyAlignment="1" applyProtection="1">
      <alignment horizontal="center" vertical="center" wrapText="1"/>
      <protection locked="0"/>
    </xf>
    <xf numFmtId="0" fontId="59" fillId="0" borderId="0" xfId="31" applyFont="1" applyAlignment="1" applyProtection="1">
      <alignment vertical="center"/>
      <protection locked="0"/>
    </xf>
    <xf numFmtId="0" fontId="60" fillId="0" borderId="9" xfId="31" applyFont="1" applyBorder="1" applyAlignment="1" applyProtection="1">
      <alignment horizontal="center" vertical="center"/>
      <protection locked="0"/>
    </xf>
    <xf numFmtId="0" fontId="60" fillId="0" borderId="9" xfId="31" applyFont="1" applyBorder="1" applyAlignment="1">
      <alignment horizontal="center" vertical="center" wrapText="1"/>
    </xf>
    <xf numFmtId="167" fontId="60" fillId="0" borderId="9" xfId="31" applyNumberFormat="1" applyFont="1" applyBorder="1" applyAlignment="1" applyProtection="1">
      <alignment horizontal="center" vertical="center" wrapText="1"/>
      <protection locked="0"/>
    </xf>
    <xf numFmtId="167" fontId="60" fillId="0" borderId="9" xfId="31" applyNumberFormat="1" applyFont="1" applyBorder="1" applyAlignment="1" applyProtection="1">
      <alignment vertical="center" wrapText="1"/>
      <protection locked="0"/>
    </xf>
    <xf numFmtId="0" fontId="60" fillId="0" borderId="9" xfId="31" applyFont="1" applyBorder="1" applyAlignment="1">
      <alignment horizontal="left" vertical="center" wrapText="1"/>
    </xf>
    <xf numFmtId="168" fontId="60" fillId="0" borderId="9" xfId="31" applyNumberFormat="1" applyFont="1" applyBorder="1" applyAlignment="1" applyProtection="1">
      <alignment horizontal="left" vertical="center" wrapText="1"/>
      <protection locked="0"/>
    </xf>
    <xf numFmtId="0" fontId="60" fillId="0" borderId="9" xfId="31" applyFont="1" applyBorder="1" applyAlignment="1" applyProtection="1">
      <alignment horizontal="left" vertical="center" wrapText="1"/>
      <protection locked="0"/>
    </xf>
    <xf numFmtId="0" fontId="60" fillId="0" borderId="0" xfId="31" applyFont="1" applyAlignment="1" applyProtection="1">
      <alignment horizontal="center" vertical="center"/>
      <protection locked="0"/>
    </xf>
    <xf numFmtId="0" fontId="60" fillId="0" borderId="9" xfId="31" applyFont="1" applyBorder="1" applyAlignment="1">
      <alignment vertical="center" wrapText="1"/>
    </xf>
    <xf numFmtId="15" fontId="60" fillId="0" borderId="17" xfId="0" applyNumberFormat="1" applyFont="1" applyBorder="1" applyAlignment="1">
      <alignment wrapText="1"/>
    </xf>
    <xf numFmtId="15" fontId="60" fillId="0" borderId="16" xfId="0" applyNumberFormat="1" applyFont="1" applyBorder="1" applyAlignment="1">
      <alignment wrapText="1"/>
    </xf>
    <xf numFmtId="0" fontId="60" fillId="0" borderId="0" xfId="31" applyFont="1" applyAlignment="1" applyProtection="1">
      <alignment horizontal="left" vertical="center" wrapText="1"/>
      <protection locked="0"/>
    </xf>
    <xf numFmtId="167" fontId="60" fillId="0" borderId="9" xfId="31" applyNumberFormat="1" applyFont="1" applyBorder="1" applyAlignment="1" applyProtection="1">
      <alignment horizontal="left" vertical="center" wrapText="1"/>
      <protection locked="0"/>
    </xf>
    <xf numFmtId="0" fontId="57" fillId="0" borderId="0" xfId="31" applyFont="1" applyAlignment="1" applyProtection="1">
      <alignment horizontal="left" vertical="top" wrapText="1"/>
      <protection locked="0"/>
    </xf>
    <xf numFmtId="0" fontId="57" fillId="0" borderId="0" xfId="31" applyFont="1" applyAlignment="1" applyProtection="1">
      <alignment horizontal="left" vertical="center"/>
      <protection locked="0"/>
    </xf>
    <xf numFmtId="0" fontId="57" fillId="0" borderId="0" xfId="31" applyFont="1" applyAlignment="1" applyProtection="1">
      <alignment horizontal="center" vertical="center"/>
      <protection locked="0"/>
    </xf>
    <xf numFmtId="0" fontId="57" fillId="0" borderId="0" xfId="31" applyFont="1" applyAlignment="1" applyProtection="1">
      <alignment horizontal="left" vertical="center" wrapText="1"/>
      <protection locked="0"/>
    </xf>
    <xf numFmtId="0" fontId="57" fillId="0" borderId="0" xfId="31" applyFont="1" applyAlignment="1" applyProtection="1">
      <alignment vertical="center" wrapText="1"/>
      <protection locked="0"/>
    </xf>
    <xf numFmtId="15" fontId="60" fillId="0" borderId="17" xfId="0" applyNumberFormat="1" applyFont="1" applyBorder="1" applyAlignment="1">
      <alignment horizontal="center" vertical="center" wrapText="1"/>
    </xf>
    <xf numFmtId="15" fontId="60" fillId="0" borderId="16" xfId="0" applyNumberFormat="1" applyFont="1" applyBorder="1" applyAlignment="1">
      <alignment horizontal="center" vertical="center" wrapText="1"/>
    </xf>
    <xf numFmtId="16" fontId="60" fillId="0" borderId="9" xfId="31" applyNumberFormat="1" applyFont="1" applyBorder="1" applyAlignment="1">
      <alignment horizontal="center" vertical="center" wrapText="1"/>
    </xf>
    <xf numFmtId="0" fontId="60" fillId="0" borderId="8" xfId="0" applyFont="1" applyBorder="1" applyAlignment="1">
      <alignment horizontal="center" vertical="center" wrapText="1"/>
    </xf>
    <xf numFmtId="0" fontId="60" fillId="0" borderId="9" xfId="0" applyFont="1" applyBorder="1" applyAlignment="1">
      <alignment vertical="center" wrapText="1"/>
    </xf>
    <xf numFmtId="0" fontId="16" fillId="0" borderId="0" xfId="34" applyAlignment="1">
      <alignment horizontal="center" vertical="center"/>
    </xf>
    <xf numFmtId="0" fontId="16" fillId="0" borderId="0" xfId="34" applyAlignment="1">
      <alignment horizontal="left" vertical="center" wrapText="1"/>
    </xf>
    <xf numFmtId="0" fontId="16" fillId="0" borderId="0" xfId="34" applyAlignment="1">
      <alignment horizontal="center" vertical="center" wrapText="1"/>
    </xf>
    <xf numFmtId="169" fontId="16" fillId="0" borderId="0" xfId="34" applyNumberFormat="1" applyAlignment="1">
      <alignment horizontal="center" vertical="center"/>
    </xf>
    <xf numFmtId="0" fontId="31" fillId="0" borderId="0" xfId="34" applyFont="1" applyAlignment="1">
      <alignment horizontal="center" vertical="center"/>
    </xf>
    <xf numFmtId="0" fontId="37" fillId="21" borderId="9" xfId="34" applyFont="1" applyFill="1" applyBorder="1" applyAlignment="1">
      <alignment horizontal="center" vertical="center" wrapText="1"/>
    </xf>
    <xf numFmtId="169" fontId="37" fillId="21" borderId="9" xfId="34" applyNumberFormat="1" applyFont="1" applyFill="1" applyBorder="1" applyAlignment="1">
      <alignment horizontal="center" vertical="center" wrapText="1"/>
    </xf>
    <xf numFmtId="0" fontId="16" fillId="0" borderId="9" xfId="34" applyBorder="1" applyAlignment="1">
      <alignment horizontal="left" vertical="center" wrapText="1"/>
    </xf>
    <xf numFmtId="0" fontId="16" fillId="0" borderId="9" xfId="34" applyBorder="1" applyAlignment="1">
      <alignment horizontal="center" vertical="center" wrapText="1"/>
    </xf>
    <xf numFmtId="0" fontId="16" fillId="5" borderId="9" xfId="34" applyFill="1" applyBorder="1" applyAlignment="1">
      <alignment horizontal="center" vertical="center" wrapText="1"/>
    </xf>
    <xf numFmtId="0" fontId="16" fillId="0" borderId="9" xfId="34" applyBorder="1" applyAlignment="1">
      <alignment horizontal="center" vertical="center"/>
    </xf>
    <xf numFmtId="0" fontId="16" fillId="2" borderId="9" xfId="34" applyFill="1" applyBorder="1" applyAlignment="1">
      <alignment horizontal="center" vertical="center"/>
    </xf>
    <xf numFmtId="169" fontId="16" fillId="0" borderId="9" xfId="34" applyNumberFormat="1" applyBorder="1" applyAlignment="1">
      <alignment horizontal="center" vertical="center"/>
    </xf>
    <xf numFmtId="15" fontId="16" fillId="0" borderId="9" xfId="34" applyNumberFormat="1" applyBorder="1" applyAlignment="1">
      <alignment horizontal="center" vertical="center"/>
    </xf>
    <xf numFmtId="167" fontId="69" fillId="0" borderId="9" xfId="31" applyNumberFormat="1" applyFont="1" applyBorder="1" applyAlignment="1" applyProtection="1">
      <alignment horizontal="center" vertical="center" wrapText="1"/>
      <protection locked="0"/>
    </xf>
    <xf numFmtId="0" fontId="60" fillId="0" borderId="0" xfId="31" applyFont="1" applyAlignment="1">
      <alignment vertical="center" wrapText="1"/>
    </xf>
    <xf numFmtId="0" fontId="60" fillId="0" borderId="17" xfId="0" applyFont="1" applyBorder="1" applyAlignment="1">
      <alignment vertical="center" wrapText="1"/>
    </xf>
    <xf numFmtId="0" fontId="60" fillId="0" borderId="16" xfId="0" applyFont="1" applyBorder="1" applyAlignment="1">
      <alignment horizontal="left" vertical="center" wrapText="1"/>
    </xf>
    <xf numFmtId="0" fontId="0" fillId="0" borderId="9" xfId="34" applyFont="1" applyBorder="1" applyAlignment="1">
      <alignment horizontal="center" vertical="center"/>
    </xf>
    <xf numFmtId="0" fontId="60" fillId="0" borderId="16" xfId="0" applyFont="1" applyBorder="1" applyAlignment="1">
      <alignment horizontal="center" vertical="center" wrapText="1"/>
    </xf>
    <xf numFmtId="0" fontId="60" fillId="0" borderId="9" xfId="31" applyFont="1" applyBorder="1" applyAlignment="1" applyProtection="1">
      <alignment horizontal="left" vertical="top" wrapText="1"/>
      <protection locked="0"/>
    </xf>
    <xf numFmtId="0" fontId="57" fillId="0" borderId="85" xfId="31" applyFont="1" applyBorder="1" applyAlignment="1" applyProtection="1">
      <alignment horizontal="left" vertical="center"/>
      <protection locked="0"/>
    </xf>
    <xf numFmtId="0" fontId="60" fillId="0" borderId="85" xfId="31" applyFont="1" applyBorder="1" applyAlignment="1">
      <alignment vertical="center" wrapText="1"/>
    </xf>
    <xf numFmtId="167" fontId="60" fillId="0" borderId="85" xfId="31" applyNumberFormat="1" applyFont="1" applyBorder="1" applyAlignment="1" applyProtection="1">
      <alignment horizontal="center" vertical="center" wrapText="1"/>
      <protection locked="0"/>
    </xf>
    <xf numFmtId="0" fontId="57" fillId="0" borderId="85" xfId="31" applyFont="1" applyBorder="1" applyAlignment="1" applyProtection="1">
      <alignment vertical="center" wrapText="1"/>
      <protection locked="0"/>
    </xf>
    <xf numFmtId="0" fontId="60" fillId="0" borderId="85" xfId="31" applyFont="1" applyBorder="1" applyAlignment="1" applyProtection="1">
      <alignment horizontal="left" vertical="center" wrapText="1"/>
      <protection locked="0"/>
    </xf>
    <xf numFmtId="16" fontId="60" fillId="0" borderId="0" xfId="31" applyNumberFormat="1" applyFont="1" applyAlignment="1" applyProtection="1">
      <alignment horizontal="center" vertical="center"/>
      <protection locked="0"/>
    </xf>
    <xf numFmtId="0" fontId="37" fillId="21" borderId="9" xfId="34" applyFont="1" applyFill="1" applyBorder="1" applyAlignment="1">
      <alignment horizontal="center" vertical="center"/>
    </xf>
    <xf numFmtId="0" fontId="51" fillId="0" borderId="9" xfId="34" applyFont="1" applyBorder="1" applyAlignment="1">
      <alignment horizontal="center" vertical="center"/>
    </xf>
    <xf numFmtId="0" fontId="66" fillId="0" borderId="9" xfId="34" applyFont="1" applyBorder="1" applyAlignment="1">
      <alignment horizontal="center" vertical="center" wrapText="1"/>
    </xf>
    <xf numFmtId="0" fontId="67" fillId="0" borderId="9" xfId="0" applyFont="1" applyBorder="1" applyAlignment="1">
      <alignment wrapText="1"/>
    </xf>
    <xf numFmtId="0" fontId="67" fillId="23" borderId="9" xfId="0" applyFont="1" applyFill="1" applyBorder="1" applyAlignment="1">
      <alignment horizontal="center" wrapText="1"/>
    </xf>
    <xf numFmtId="0" fontId="67" fillId="23" borderId="9" xfId="0" applyFont="1" applyFill="1" applyBorder="1" applyAlignment="1">
      <alignment horizontal="center"/>
    </xf>
    <xf numFmtId="169" fontId="70" fillId="0" borderId="9" xfId="24" applyNumberFormat="1" applyFont="1" applyFill="1" applyBorder="1" applyAlignment="1">
      <alignment horizontal="center" vertical="center"/>
    </xf>
    <xf numFmtId="169" fontId="14" fillId="0" borderId="9" xfId="34" applyNumberFormat="1" applyFont="1" applyBorder="1" applyAlignment="1">
      <alignment horizontal="center" vertical="center"/>
    </xf>
    <xf numFmtId="0" fontId="14" fillId="0" borderId="9" xfId="34" applyFont="1" applyBorder="1" applyAlignment="1">
      <alignment horizontal="center" vertical="center"/>
    </xf>
    <xf numFmtId="0" fontId="14" fillId="17" borderId="9" xfId="34" applyFont="1" applyFill="1" applyBorder="1" applyAlignment="1">
      <alignment horizontal="center" vertical="center" wrapText="1"/>
    </xf>
    <xf numFmtId="169" fontId="14" fillId="0" borderId="9" xfId="24" applyNumberFormat="1" applyFont="1" applyFill="1" applyBorder="1" applyAlignment="1">
      <alignment horizontal="center" vertical="center"/>
    </xf>
    <xf numFmtId="0" fontId="13" fillId="0" borderId="9" xfId="34" applyFont="1" applyBorder="1" applyAlignment="1">
      <alignment horizontal="center" vertical="center" wrapText="1"/>
    </xf>
    <xf numFmtId="14" fontId="61" fillId="16" borderId="84" xfId="34" applyNumberFormat="1" applyFont="1" applyFill="1" applyBorder="1" applyAlignment="1">
      <alignment vertical="center"/>
    </xf>
    <xf numFmtId="14" fontId="61" fillId="16" borderId="88" xfId="34" applyNumberFormat="1" applyFont="1" applyFill="1" applyBorder="1" applyAlignment="1">
      <alignment vertical="center"/>
    </xf>
    <xf numFmtId="0" fontId="12" fillId="0" borderId="9" xfId="34" applyFont="1" applyBorder="1" applyAlignment="1">
      <alignment horizontal="center" vertical="center"/>
    </xf>
    <xf numFmtId="0" fontId="11" fillId="0" borderId="9" xfId="34" applyFont="1" applyBorder="1" applyAlignment="1">
      <alignment horizontal="center" vertical="center"/>
    </xf>
    <xf numFmtId="0" fontId="10" fillId="0" borderId="9" xfId="34" applyFont="1" applyBorder="1" applyAlignment="1">
      <alignment horizontal="center" vertical="center"/>
    </xf>
    <xf numFmtId="0" fontId="10" fillId="0" borderId="9" xfId="34" applyFont="1" applyBorder="1" applyAlignment="1">
      <alignment horizontal="left" vertical="center" wrapText="1"/>
    </xf>
    <xf numFmtId="169" fontId="9" fillId="0" borderId="9" xfId="34" applyNumberFormat="1" applyFont="1" applyBorder="1" applyAlignment="1">
      <alignment horizontal="center" vertical="center"/>
    </xf>
    <xf numFmtId="169" fontId="8" fillId="0" borderId="9" xfId="34" applyNumberFormat="1" applyFont="1" applyBorder="1" applyAlignment="1">
      <alignment horizontal="center" vertical="center"/>
    </xf>
    <xf numFmtId="169" fontId="7" fillId="0" borderId="9" xfId="34" applyNumberFormat="1" applyFont="1" applyBorder="1" applyAlignment="1">
      <alignment horizontal="center" vertical="center"/>
    </xf>
    <xf numFmtId="0" fontId="6" fillId="0" borderId="9" xfId="34" applyFont="1" applyBorder="1" applyAlignment="1">
      <alignment horizontal="left" vertical="center" wrapText="1"/>
    </xf>
    <xf numFmtId="0" fontId="6" fillId="17" borderId="9" xfId="34" applyFont="1" applyFill="1" applyBorder="1" applyAlignment="1">
      <alignment horizontal="center" vertical="center"/>
    </xf>
    <xf numFmtId="169" fontId="6" fillId="0" borderId="9" xfId="34" applyNumberFormat="1" applyFont="1" applyBorder="1" applyAlignment="1">
      <alignment horizontal="center" vertical="center"/>
    </xf>
    <xf numFmtId="0" fontId="5" fillId="0" borderId="9" xfId="34" applyFont="1" applyBorder="1" applyAlignment="1">
      <alignment horizontal="center" vertical="center"/>
    </xf>
    <xf numFmtId="0" fontId="5" fillId="0" borderId="9" xfId="34" applyFont="1" applyBorder="1" applyAlignment="1">
      <alignment horizontal="left" vertical="center" wrapText="1"/>
    </xf>
    <xf numFmtId="169" fontId="5" fillId="0" borderId="9" xfId="34" applyNumberFormat="1" applyFont="1" applyBorder="1" applyAlignment="1">
      <alignment horizontal="center" vertical="center"/>
    </xf>
    <xf numFmtId="14" fontId="61" fillId="16" borderId="18" xfId="34" applyNumberFormat="1" applyFont="1" applyFill="1" applyBorder="1" applyAlignment="1">
      <alignment horizontal="center" vertical="center"/>
    </xf>
    <xf numFmtId="14" fontId="61" fillId="16" borderId="7" xfId="34" applyNumberFormat="1" applyFont="1" applyFill="1" applyBorder="1" applyAlignment="1">
      <alignment horizontal="center" vertical="center"/>
    </xf>
    <xf numFmtId="14" fontId="61" fillId="16" borderId="6" xfId="34" applyNumberFormat="1" applyFont="1" applyFill="1" applyBorder="1" applyAlignment="1">
      <alignment horizontal="center" vertical="center"/>
    </xf>
    <xf numFmtId="0" fontId="4" fillId="0" borderId="9" xfId="34" applyFont="1" applyBorder="1" applyAlignment="1">
      <alignment horizontal="center" vertical="center"/>
    </xf>
    <xf numFmtId="0" fontId="3" fillId="0" borderId="9" xfId="34" applyFont="1" applyBorder="1" applyAlignment="1">
      <alignment horizontal="left" vertical="center" wrapText="1"/>
    </xf>
    <xf numFmtId="0" fontId="4" fillId="0" borderId="9" xfId="34" applyFont="1" applyBorder="1" applyAlignment="1">
      <alignment horizontal="left" vertical="center" wrapText="1"/>
    </xf>
    <xf numFmtId="0" fontId="3" fillId="0" borderId="9" xfId="34" applyFont="1" applyBorder="1" applyAlignment="1">
      <alignment horizontal="center" vertical="center"/>
    </xf>
    <xf numFmtId="0" fontId="3" fillId="5" borderId="9" xfId="34" applyFont="1" applyFill="1" applyBorder="1" applyAlignment="1">
      <alignment horizontal="center" vertical="center"/>
    </xf>
    <xf numFmtId="169" fontId="3" fillId="0" borderId="9" xfId="34" applyNumberFormat="1" applyFont="1" applyBorder="1" applyAlignment="1">
      <alignment horizontal="center" vertical="center"/>
    </xf>
    <xf numFmtId="0" fontId="6" fillId="24" borderId="9" xfId="34" applyFont="1" applyFill="1" applyBorder="1" applyAlignment="1">
      <alignment horizontal="center" vertical="center"/>
    </xf>
    <xf numFmtId="0" fontId="4" fillId="3" borderId="9" xfId="34" applyFont="1" applyFill="1" applyBorder="1" applyAlignment="1">
      <alignment horizontal="center" vertical="center"/>
    </xf>
    <xf numFmtId="0" fontId="6" fillId="3" borderId="9" xfId="34" applyFont="1" applyFill="1" applyBorder="1" applyAlignment="1">
      <alignment horizontal="center" vertical="center"/>
    </xf>
    <xf numFmtId="0" fontId="3" fillId="3" borderId="9" xfId="34" applyFont="1" applyFill="1" applyBorder="1" applyAlignment="1">
      <alignment horizontal="center" vertical="center"/>
    </xf>
    <xf numFmtId="0" fontId="5" fillId="3" borderId="9" xfId="34" applyFont="1" applyFill="1" applyBorder="1" applyAlignment="1">
      <alignment horizontal="center" vertical="center"/>
    </xf>
    <xf numFmtId="0" fontId="6" fillId="5" borderId="9" xfId="34" applyFont="1" applyFill="1" applyBorder="1" applyAlignment="1">
      <alignment horizontal="center" vertical="center" wrapText="1"/>
    </xf>
    <xf numFmtId="14" fontId="61" fillId="16" borderId="87" xfId="34" applyNumberFormat="1" applyFont="1" applyFill="1" applyBorder="1" applyAlignment="1">
      <alignment horizontal="center" vertical="center"/>
    </xf>
    <xf numFmtId="0" fontId="2" fillId="24" borderId="9" xfId="34" applyFont="1" applyFill="1" applyBorder="1" applyAlignment="1">
      <alignment horizontal="center" vertical="center" wrapText="1"/>
    </xf>
    <xf numFmtId="1" fontId="10" fillId="0" borderId="9" xfId="34" applyNumberFormat="1" applyFont="1" applyBorder="1" applyAlignment="1">
      <alignment horizontal="center" vertical="center"/>
    </xf>
    <xf numFmtId="1" fontId="16" fillId="0" borderId="9" xfId="34" applyNumberFormat="1" applyBorder="1" applyAlignment="1">
      <alignment horizontal="center" vertical="center"/>
    </xf>
    <xf numFmtId="0" fontId="1" fillId="2" borderId="9" xfId="34" applyFont="1" applyFill="1" applyBorder="1" applyAlignment="1">
      <alignment horizontal="center" vertical="center"/>
    </xf>
    <xf numFmtId="0" fontId="1" fillId="0" borderId="9" xfId="34" applyFont="1" applyBorder="1" applyAlignment="1">
      <alignment horizontal="center" vertical="center"/>
    </xf>
    <xf numFmtId="0" fontId="1" fillId="0" borderId="9" xfId="34" applyFont="1" applyBorder="1" applyAlignment="1">
      <alignment horizontal="left" vertical="center" wrapText="1"/>
    </xf>
    <xf numFmtId="1" fontId="16" fillId="0" borderId="0" xfId="34" applyNumberFormat="1" applyAlignment="1">
      <alignment horizontal="center" vertical="center"/>
    </xf>
    <xf numFmtId="1" fontId="1" fillId="0" borderId="9" xfId="34" applyNumberFormat="1" applyFont="1" applyBorder="1" applyAlignment="1">
      <alignment horizontal="center" vertical="center"/>
    </xf>
    <xf numFmtId="0" fontId="54" fillId="19" borderId="20" xfId="31" applyFont="1" applyFill="1" applyBorder="1" applyAlignment="1" applyProtection="1">
      <alignment horizontal="center" vertical="center"/>
      <protection locked="0"/>
    </xf>
    <xf numFmtId="0" fontId="54" fillId="19" borderId="68" xfId="31" applyFont="1" applyFill="1" applyBorder="1" applyAlignment="1" applyProtection="1">
      <alignment horizontal="center" vertical="center"/>
      <protection locked="0"/>
    </xf>
    <xf numFmtId="0" fontId="54" fillId="19" borderId="19" xfId="31" applyFont="1" applyFill="1" applyBorder="1" applyAlignment="1" applyProtection="1">
      <alignment horizontal="center" vertical="center"/>
      <protection locked="0"/>
    </xf>
    <xf numFmtId="0" fontId="54" fillId="19" borderId="6" xfId="31" applyFont="1" applyFill="1" applyBorder="1" applyAlignment="1" applyProtection="1">
      <alignment horizontal="center" vertical="center"/>
      <protection locked="0"/>
    </xf>
    <xf numFmtId="0" fontId="54" fillId="19" borderId="0" xfId="31" applyFont="1" applyFill="1" applyAlignment="1" applyProtection="1">
      <alignment horizontal="center" vertical="center"/>
      <protection locked="0"/>
    </xf>
    <xf numFmtId="0" fontId="54" fillId="19" borderId="18" xfId="31" applyFont="1" applyFill="1" applyBorder="1" applyAlignment="1" applyProtection="1">
      <alignment horizontal="center" vertical="center"/>
      <protection locked="0"/>
    </xf>
    <xf numFmtId="0" fontId="54" fillId="19" borderId="15" xfId="31" applyFont="1" applyFill="1" applyBorder="1" applyAlignment="1" applyProtection="1">
      <alignment horizontal="center" vertical="center"/>
      <protection locked="0"/>
    </xf>
    <xf numFmtId="0" fontId="54" fillId="19" borderId="69" xfId="31" applyFont="1" applyFill="1" applyBorder="1" applyAlignment="1" applyProtection="1">
      <alignment horizontal="center" vertical="center"/>
      <protection locked="0"/>
    </xf>
    <xf numFmtId="0" fontId="54" fillId="19" borderId="16" xfId="31" applyFont="1" applyFill="1" applyBorder="1" applyAlignment="1" applyProtection="1">
      <alignment horizontal="center" vertical="center"/>
      <protection locked="0"/>
    </xf>
    <xf numFmtId="0" fontId="55" fillId="19" borderId="7" xfId="31" applyFont="1" applyFill="1" applyBorder="1" applyAlignment="1" applyProtection="1">
      <alignment horizontal="center" vertical="center" wrapText="1"/>
      <protection locked="0"/>
    </xf>
    <xf numFmtId="0" fontId="55" fillId="19" borderId="8" xfId="31" applyFont="1" applyFill="1" applyBorder="1" applyAlignment="1" applyProtection="1">
      <alignment horizontal="center" vertical="center" wrapText="1"/>
      <protection locked="0"/>
    </xf>
    <xf numFmtId="0" fontId="62" fillId="7" borderId="32" xfId="4" applyFont="1" applyFill="1" applyBorder="1" applyAlignment="1">
      <alignment horizontal="center" vertical="center" wrapText="1"/>
    </xf>
    <xf numFmtId="0" fontId="62" fillId="7" borderId="34" xfId="4" applyFont="1" applyFill="1" applyBorder="1" applyAlignment="1">
      <alignment horizontal="center" vertical="center" wrapText="1"/>
    </xf>
    <xf numFmtId="0" fontId="62" fillId="8" borderId="75" xfId="4" applyFont="1" applyFill="1" applyBorder="1" applyAlignment="1">
      <alignment horizontal="left" vertical="center" wrapText="1"/>
    </xf>
    <xf numFmtId="0" fontId="62" fillId="8" borderId="74" xfId="4" applyFont="1" applyFill="1" applyBorder="1" applyAlignment="1">
      <alignment horizontal="left" vertical="center" wrapText="1"/>
    </xf>
    <xf numFmtId="0" fontId="62" fillId="8" borderId="22" xfId="18" applyFont="1" applyFill="1" applyBorder="1" applyAlignment="1">
      <alignment horizontal="center" vertical="center"/>
    </xf>
    <xf numFmtId="0" fontId="31" fillId="16" borderId="22" xfId="18" quotePrefix="1" applyFont="1" applyFill="1" applyBorder="1" applyAlignment="1">
      <alignment horizontal="center" vertical="center"/>
    </xf>
    <xf numFmtId="0" fontId="31" fillId="16" borderId="22" xfId="18" applyFont="1" applyFill="1" applyBorder="1" applyAlignment="1">
      <alignment horizontal="center" vertical="center"/>
    </xf>
    <xf numFmtId="0" fontId="31" fillId="16" borderId="75" xfId="4" applyFont="1" applyFill="1" applyBorder="1" applyAlignment="1">
      <alignment horizontal="left" vertical="center" wrapText="1"/>
    </xf>
    <xf numFmtId="0" fontId="31" fillId="16" borderId="74" xfId="4" applyFont="1" applyFill="1" applyBorder="1" applyAlignment="1">
      <alignment horizontal="left" vertical="center" wrapText="1"/>
    </xf>
    <xf numFmtId="0" fontId="31" fillId="7" borderId="32" xfId="4" applyFont="1" applyFill="1" applyBorder="1" applyAlignment="1">
      <alignment horizontal="center" vertical="center"/>
    </xf>
    <xf numFmtId="0" fontId="31" fillId="7" borderId="34" xfId="4" applyFont="1" applyFill="1" applyBorder="1" applyAlignment="1">
      <alignment horizontal="center" vertical="center"/>
    </xf>
    <xf numFmtId="0" fontId="62" fillId="7" borderId="22" xfId="4" applyFont="1" applyFill="1" applyBorder="1" applyAlignment="1">
      <alignment horizontal="center" vertical="center"/>
    </xf>
    <xf numFmtId="0" fontId="31" fillId="7" borderId="22" xfId="4" applyFont="1" applyFill="1" applyBorder="1" applyAlignment="1">
      <alignment horizontal="center" vertical="center"/>
    </xf>
    <xf numFmtId="0" fontId="31" fillId="7" borderId="22" xfId="4" applyFont="1" applyFill="1" applyBorder="1" applyAlignment="1">
      <alignment horizontal="center" vertical="center" wrapText="1"/>
    </xf>
    <xf numFmtId="0" fontId="31" fillId="7" borderId="23" xfId="4" applyFont="1" applyFill="1" applyBorder="1" applyAlignment="1">
      <alignment horizontal="center" vertical="center" wrapText="1"/>
    </xf>
    <xf numFmtId="0" fontId="62" fillId="8" borderId="22" xfId="18" quotePrefix="1" applyFont="1" applyFill="1" applyBorder="1" applyAlignment="1">
      <alignment horizontal="center" vertical="center"/>
    </xf>
    <xf numFmtId="0" fontId="62" fillId="8" borderId="32" xfId="18" applyFont="1" applyFill="1" applyBorder="1" applyAlignment="1">
      <alignment horizontal="center" vertical="center"/>
    </xf>
    <xf numFmtId="0" fontId="62" fillId="8" borderId="3" xfId="4" applyFont="1" applyFill="1" applyBorder="1" applyAlignment="1">
      <alignment horizontal="left" vertical="center" wrapText="1"/>
    </xf>
    <xf numFmtId="0" fontId="62" fillId="0" borderId="21" xfId="4" applyFont="1" applyBorder="1" applyAlignment="1">
      <alignment horizontal="center" vertical="center" wrapText="1"/>
    </xf>
    <xf numFmtId="0" fontId="62" fillId="0" borderId="22" xfId="4" applyFont="1" applyBorder="1" applyAlignment="1">
      <alignment horizontal="center" vertical="center" wrapText="1"/>
    </xf>
    <xf numFmtId="0" fontId="62" fillId="0" borderId="39" xfId="4" applyFont="1" applyBorder="1" applyAlignment="1">
      <alignment horizontal="left" vertical="center" wrapText="1"/>
    </xf>
    <xf numFmtId="0" fontId="62" fillId="0" borderId="42" xfId="4" applyFont="1" applyBorder="1" applyAlignment="1">
      <alignment horizontal="left" vertical="center" wrapText="1"/>
    </xf>
    <xf numFmtId="0" fontId="31" fillId="0" borderId="22" xfId="4" applyFont="1" applyBorder="1" applyAlignment="1">
      <alignment horizontal="center" vertical="center" wrapText="1"/>
    </xf>
    <xf numFmtId="0" fontId="31" fillId="0" borderId="42" xfId="4" applyFont="1" applyBorder="1" applyAlignment="1">
      <alignment horizontal="left" vertical="center" wrapText="1"/>
    </xf>
    <xf numFmtId="0" fontId="31" fillId="0" borderId="23" xfId="4" applyFont="1" applyBorder="1" applyAlignment="1">
      <alignment horizontal="center" vertical="center" wrapText="1"/>
    </xf>
    <xf numFmtId="0" fontId="31" fillId="0" borderId="70" xfId="4" applyFont="1" applyBorder="1" applyAlignment="1">
      <alignment horizontal="left" vertical="center" wrapText="1"/>
    </xf>
    <xf numFmtId="0" fontId="62" fillId="8" borderId="23" xfId="18" applyFont="1" applyFill="1" applyBorder="1" applyAlignment="1">
      <alignment horizontal="center" vertical="center"/>
    </xf>
    <xf numFmtId="0" fontId="62" fillId="8" borderId="4" xfId="4" applyFont="1" applyFill="1" applyBorder="1" applyAlignment="1">
      <alignment horizontal="left" vertical="center" wrapText="1"/>
    </xf>
    <xf numFmtId="0" fontId="36" fillId="8" borderId="33" xfId="4" applyFont="1" applyFill="1" applyBorder="1" applyAlignment="1">
      <alignment horizontal="center" vertical="center" textRotation="90" wrapText="1"/>
    </xf>
    <xf numFmtId="0" fontId="31" fillId="16" borderId="21" xfId="18" quotePrefix="1" applyFont="1" applyFill="1" applyBorder="1" applyAlignment="1">
      <alignment horizontal="center" vertical="center"/>
    </xf>
    <xf numFmtId="0" fontId="31" fillId="16" borderId="1" xfId="4" applyFont="1" applyFill="1" applyBorder="1" applyAlignment="1">
      <alignment horizontal="left" vertical="center" wrapText="1"/>
    </xf>
    <xf numFmtId="0" fontId="62" fillId="7" borderId="35" xfId="4" applyFont="1" applyFill="1" applyBorder="1" applyAlignment="1">
      <alignment horizontal="center" vertical="center" wrapText="1"/>
    </xf>
    <xf numFmtId="0" fontId="36" fillId="15" borderId="1" xfId="4" applyFont="1" applyFill="1" applyBorder="1" applyAlignment="1">
      <alignment horizontal="center" vertical="center" textRotation="90" wrapText="1"/>
    </xf>
    <xf numFmtId="0" fontId="36" fillId="15" borderId="3" xfId="4" applyFont="1" applyFill="1" applyBorder="1" applyAlignment="1">
      <alignment horizontal="center" vertical="center" textRotation="90" wrapText="1"/>
    </xf>
    <xf numFmtId="0" fontId="36" fillId="15" borderId="4" xfId="4" applyFont="1" applyFill="1" applyBorder="1" applyAlignment="1">
      <alignment horizontal="center" vertical="center" textRotation="90" wrapText="1"/>
    </xf>
    <xf numFmtId="0" fontId="62" fillId="8" borderId="34" xfId="18" quotePrefix="1" applyFont="1" applyFill="1" applyBorder="1" applyAlignment="1">
      <alignment horizontal="center" vertical="center"/>
    </xf>
    <xf numFmtId="0" fontId="36" fillId="14" borderId="40" xfId="4" applyFont="1" applyFill="1" applyBorder="1" applyAlignment="1">
      <alignment horizontal="center" vertical="center" textRotation="90" wrapText="1"/>
    </xf>
    <xf numFmtId="0" fontId="36" fillId="14" borderId="33" xfId="4" applyFont="1" applyFill="1" applyBorder="1" applyAlignment="1">
      <alignment horizontal="center" vertical="center" textRotation="90" wrapText="1"/>
    </xf>
    <xf numFmtId="0" fontId="36" fillId="14" borderId="35" xfId="4" applyFont="1" applyFill="1" applyBorder="1" applyAlignment="1">
      <alignment horizontal="center" vertical="center" textRotation="90" wrapText="1"/>
    </xf>
    <xf numFmtId="0" fontId="52" fillId="0" borderId="1" xfId="4" applyFont="1" applyBorder="1" applyAlignment="1">
      <alignment horizontal="center" vertical="center" wrapText="1"/>
    </xf>
    <xf numFmtId="0" fontId="52" fillId="0" borderId="2" xfId="4" applyFont="1" applyBorder="1" applyAlignment="1">
      <alignment horizontal="center" vertical="center" wrapText="1"/>
    </xf>
    <xf numFmtId="0" fontId="52" fillId="0" borderId="11" xfId="4" applyFont="1" applyBorder="1" applyAlignment="1">
      <alignment horizontal="center" vertical="center" wrapText="1"/>
    </xf>
    <xf numFmtId="0" fontId="62" fillId="7" borderId="21" xfId="4" applyFont="1" applyFill="1" applyBorder="1" applyAlignment="1">
      <alignment horizontal="center" vertical="center"/>
    </xf>
    <xf numFmtId="0" fontId="62" fillId="7" borderId="34" xfId="4" applyFont="1" applyFill="1" applyBorder="1" applyAlignment="1">
      <alignment horizontal="center" vertical="center"/>
    </xf>
    <xf numFmtId="0" fontId="31" fillId="7" borderId="32" xfId="4" applyFont="1" applyFill="1" applyBorder="1" applyAlignment="1">
      <alignment horizontal="center" vertical="center" wrapText="1"/>
    </xf>
    <xf numFmtId="0" fontId="31" fillId="7" borderId="34" xfId="4" applyFont="1" applyFill="1" applyBorder="1" applyAlignment="1">
      <alignment horizontal="center" vertical="center" wrapText="1"/>
    </xf>
    <xf numFmtId="0" fontId="62" fillId="7" borderId="33" xfId="4" applyFont="1" applyFill="1" applyBorder="1" applyAlignment="1">
      <alignment horizontal="center" vertical="center" wrapText="1"/>
    </xf>
    <xf numFmtId="0" fontId="31" fillId="7" borderId="35" xfId="4" applyFont="1" applyFill="1" applyBorder="1" applyAlignment="1">
      <alignment horizontal="center" vertical="center" wrapText="1"/>
    </xf>
    <xf numFmtId="0" fontId="31" fillId="16" borderId="23" xfId="18" applyFont="1" applyFill="1" applyBorder="1" applyAlignment="1">
      <alignment horizontal="center" vertical="center"/>
    </xf>
    <xf numFmtId="0" fontId="31" fillId="16" borderId="4" xfId="4" applyFont="1" applyFill="1" applyBorder="1" applyAlignment="1">
      <alignment horizontal="left" vertical="center" wrapText="1"/>
    </xf>
    <xf numFmtId="0" fontId="31" fillId="7" borderId="40" xfId="4" applyFont="1" applyFill="1" applyBorder="1" applyAlignment="1">
      <alignment horizontal="center" vertical="center" wrapText="1"/>
    </xf>
    <xf numFmtId="0" fontId="31" fillId="7" borderId="33" xfId="4" applyFont="1" applyFill="1" applyBorder="1" applyAlignment="1">
      <alignment horizontal="center" vertical="center"/>
    </xf>
    <xf numFmtId="0" fontId="36" fillId="13" borderId="40" xfId="4" applyFont="1" applyFill="1" applyBorder="1" applyAlignment="1">
      <alignment horizontal="center" vertical="center" textRotation="90" wrapText="1"/>
    </xf>
    <xf numFmtId="0" fontId="36" fillId="13" borderId="33" xfId="4" applyFont="1" applyFill="1" applyBorder="1" applyAlignment="1">
      <alignment horizontal="center" vertical="center" textRotation="90" wrapText="1"/>
    </xf>
    <xf numFmtId="0" fontId="36" fillId="13" borderId="35" xfId="4" applyFont="1" applyFill="1" applyBorder="1" applyAlignment="1">
      <alignment horizontal="center" vertical="center" textRotation="90" wrapText="1"/>
    </xf>
    <xf numFmtId="0" fontId="31" fillId="7" borderId="40" xfId="4" applyFont="1" applyFill="1" applyBorder="1" applyAlignment="1">
      <alignment horizontal="center" vertical="center"/>
    </xf>
    <xf numFmtId="165" fontId="30" fillId="9" borderId="46" xfId="4" applyNumberFormat="1" applyFill="1" applyBorder="1" applyAlignment="1">
      <alignment horizontal="left" vertical="center" wrapText="1" indent="1"/>
    </xf>
    <xf numFmtId="165" fontId="30" fillId="9" borderId="47" xfId="4" applyNumberFormat="1" applyFill="1" applyBorder="1" applyAlignment="1">
      <alignment horizontal="left" vertical="center" wrapText="1" indent="1"/>
    </xf>
    <xf numFmtId="165" fontId="30" fillId="9" borderId="48" xfId="4" applyNumberFormat="1" applyFill="1" applyBorder="1" applyAlignment="1">
      <alignment horizontal="left" vertical="center" wrapText="1" indent="1"/>
    </xf>
    <xf numFmtId="0" fontId="43" fillId="10" borderId="1" xfId="4" applyFont="1" applyFill="1" applyBorder="1" applyAlignment="1">
      <alignment horizontal="center" vertical="center"/>
    </xf>
    <xf numFmtId="0" fontId="43" fillId="10" borderId="11" xfId="4" applyFont="1" applyFill="1" applyBorder="1" applyAlignment="1">
      <alignment horizontal="center" vertical="center"/>
    </xf>
    <xf numFmtId="0" fontId="31" fillId="16" borderId="21" xfId="18" applyFont="1" applyFill="1" applyBorder="1" applyAlignment="1">
      <alignment horizontal="center" vertical="center"/>
    </xf>
    <xf numFmtId="0" fontId="36" fillId="6" borderId="40" xfId="4" applyFont="1" applyFill="1" applyBorder="1" applyAlignment="1">
      <alignment horizontal="center" vertical="center" textRotation="90"/>
    </xf>
    <xf numFmtId="0" fontId="36" fillId="6" borderId="33" xfId="4" applyFont="1" applyFill="1" applyBorder="1" applyAlignment="1">
      <alignment horizontal="center" vertical="center" textRotation="90"/>
    </xf>
    <xf numFmtId="0" fontId="36" fillId="6" borderId="35" xfId="4" applyFont="1" applyFill="1" applyBorder="1" applyAlignment="1">
      <alignment horizontal="center" vertical="center" textRotation="90"/>
    </xf>
    <xf numFmtId="164" fontId="24" fillId="0" borderId="43" xfId="20" applyNumberFormat="1" applyBorder="1" applyAlignment="1">
      <alignment horizontal="center" vertical="center"/>
    </xf>
    <xf numFmtId="164" fontId="24" fillId="0" borderId="44" xfId="20" applyNumberFormat="1" applyBorder="1" applyAlignment="1">
      <alignment horizontal="center" vertical="center"/>
    </xf>
    <xf numFmtId="164" fontId="30" fillId="0" borderId="43" xfId="4" applyNumberFormat="1" applyBorder="1" applyAlignment="1">
      <alignment horizontal="center" vertical="center"/>
    </xf>
    <xf numFmtId="164" fontId="30" fillId="0" borderId="44" xfId="4" applyNumberFormat="1" applyBorder="1" applyAlignment="1">
      <alignment horizontal="center" vertical="center"/>
    </xf>
    <xf numFmtId="165" fontId="30" fillId="9" borderId="49" xfId="4" applyNumberFormat="1" applyFill="1" applyBorder="1" applyAlignment="1">
      <alignment horizontal="left" vertical="center" wrapText="1" indent="1"/>
    </xf>
    <xf numFmtId="165" fontId="30" fillId="9" borderId="0" xfId="4" applyNumberFormat="1" applyFill="1" applyAlignment="1">
      <alignment horizontal="left" vertical="center" wrapText="1" indent="1"/>
    </xf>
    <xf numFmtId="165" fontId="30" fillId="9" borderId="50" xfId="4" applyNumberFormat="1" applyFill="1" applyBorder="1" applyAlignment="1">
      <alignment horizontal="left" vertical="center" wrapText="1" indent="1"/>
    </xf>
    <xf numFmtId="164" fontId="30" fillId="12" borderId="1" xfId="4" applyNumberFormat="1" applyFill="1" applyBorder="1" applyAlignment="1">
      <alignment horizontal="center" vertical="center"/>
    </xf>
    <xf numFmtId="164" fontId="30" fillId="12" borderId="2" xfId="4" applyNumberFormat="1" applyFill="1" applyBorder="1" applyAlignment="1">
      <alignment horizontal="center" vertical="center"/>
    </xf>
    <xf numFmtId="164" fontId="30" fillId="4" borderId="4" xfId="4" applyNumberFormat="1" applyFill="1" applyBorder="1" applyAlignment="1">
      <alignment horizontal="center" vertical="center"/>
    </xf>
    <xf numFmtId="164" fontId="30" fillId="4" borderId="5" xfId="4" applyNumberFormat="1" applyFill="1" applyBorder="1" applyAlignment="1">
      <alignment horizontal="center" vertical="center"/>
    </xf>
    <xf numFmtId="164" fontId="14" fillId="8" borderId="2" xfId="4" applyNumberFormat="1" applyFont="1" applyFill="1" applyBorder="1" applyAlignment="1">
      <alignment horizontal="center" vertical="center"/>
    </xf>
    <xf numFmtId="164" fontId="30" fillId="8" borderId="2" xfId="4" applyNumberFormat="1" applyFill="1" applyBorder="1" applyAlignment="1">
      <alignment horizontal="center" vertical="center"/>
    </xf>
    <xf numFmtId="164" fontId="30" fillId="8" borderId="11" xfId="4" applyNumberFormat="1" applyFill="1" applyBorder="1" applyAlignment="1">
      <alignment horizontal="center" vertical="center"/>
    </xf>
    <xf numFmtId="164" fontId="14" fillId="5" borderId="5" xfId="4" applyNumberFormat="1" applyFont="1" applyFill="1" applyBorder="1" applyAlignment="1">
      <alignment horizontal="center" vertical="center"/>
    </xf>
    <xf numFmtId="164" fontId="30" fillId="5" borderId="5" xfId="4" applyNumberFormat="1" applyFill="1" applyBorder="1" applyAlignment="1">
      <alignment horizontal="center" vertical="center"/>
    </xf>
    <xf numFmtId="164" fontId="30" fillId="5" borderId="12" xfId="4" applyNumberFormat="1" applyFill="1" applyBorder="1" applyAlignment="1">
      <alignment horizontal="center" vertical="center"/>
    </xf>
    <xf numFmtId="14" fontId="61" fillId="16" borderId="86" xfId="34" applyNumberFormat="1" applyFont="1" applyFill="1" applyBorder="1" applyAlignment="1">
      <alignment horizontal="center" vertical="center"/>
    </xf>
    <xf numFmtId="14" fontId="61" fillId="16" borderId="87" xfId="34" applyNumberFormat="1" applyFont="1" applyFill="1" applyBorder="1" applyAlignment="1">
      <alignment horizontal="center" vertical="center"/>
    </xf>
    <xf numFmtId="14" fontId="61" fillId="16" borderId="0" xfId="34" applyNumberFormat="1" applyFont="1" applyFill="1" applyAlignment="1">
      <alignment horizontal="center" vertical="center"/>
    </xf>
    <xf numFmtId="14" fontId="61" fillId="16" borderId="18" xfId="34" applyNumberFormat="1" applyFont="1" applyFill="1" applyBorder="1" applyAlignment="1">
      <alignment horizontal="center" vertical="center"/>
    </xf>
    <xf numFmtId="14" fontId="61" fillId="16" borderId="1" xfId="34" applyNumberFormat="1" applyFont="1" applyFill="1" applyBorder="1" applyAlignment="1">
      <alignment horizontal="center" vertical="center"/>
    </xf>
    <xf numFmtId="14" fontId="61" fillId="16" borderId="2" xfId="34" applyNumberFormat="1" applyFont="1" applyFill="1" applyBorder="1" applyAlignment="1">
      <alignment horizontal="center" vertical="center"/>
    </xf>
    <xf numFmtId="14" fontId="61" fillId="16" borderId="11" xfId="34" applyNumberFormat="1" applyFont="1" applyFill="1" applyBorder="1" applyAlignment="1">
      <alignment horizontal="center" vertical="center"/>
    </xf>
    <xf numFmtId="14" fontId="61" fillId="16" borderId="3" xfId="34" applyNumberFormat="1" applyFont="1" applyFill="1" applyBorder="1" applyAlignment="1">
      <alignment horizontal="center" vertical="center"/>
    </xf>
    <xf numFmtId="14" fontId="61" fillId="16" borderId="83" xfId="34" applyNumberFormat="1" applyFont="1" applyFill="1" applyBorder="1" applyAlignment="1">
      <alignment horizontal="center" vertical="center"/>
    </xf>
  </cellXfs>
  <cellStyles count="36">
    <cellStyle name="Bad" xfId="24" builtinId="27"/>
    <cellStyle name="Comma [0] 2" xfId="15" xr:uid="{00000000-0005-0000-0000-000001000000}"/>
    <cellStyle name="Comma 2" xfId="13" xr:uid="{00000000-0005-0000-0000-000002000000}"/>
    <cellStyle name="Hyperlink 2" xfId="5" xr:uid="{00000000-0005-0000-0000-000003000000}"/>
    <cellStyle name="Normal" xfId="0" builtinId="0"/>
    <cellStyle name="Normal 10" xfId="29" xr:uid="{D5833C37-6A52-443D-AAF2-E291219A6B8F}"/>
    <cellStyle name="Normal 11" xfId="32" xr:uid="{9F9F6374-087C-4233-A5FF-1EA77EF03721}"/>
    <cellStyle name="Normal 12" xfId="35" xr:uid="{EF60FC34-C221-4AD2-9D16-CCC7A7154C64}"/>
    <cellStyle name="Normal 2" xfId="1" xr:uid="{00000000-0005-0000-0000-000005000000}"/>
    <cellStyle name="Normal 2 2" xfId="3" xr:uid="{00000000-0005-0000-0000-000006000000}"/>
    <cellStyle name="Normal 2 2 2" xfId="7" xr:uid="{00000000-0005-0000-0000-000007000000}"/>
    <cellStyle name="Normal 2 3" xfId="12" xr:uid="{00000000-0005-0000-0000-000008000000}"/>
    <cellStyle name="Normal 2 4" xfId="16" xr:uid="{00000000-0005-0000-0000-000009000000}"/>
    <cellStyle name="Normal 2 4 2" xfId="26" xr:uid="{7B4D032F-65BC-4FE6-A7D5-E994528DC1E6}"/>
    <cellStyle name="Normal 2 4 2 2" xfId="31" xr:uid="{AC13E1F8-5B9C-4F29-ABC0-67E09BA4A619}"/>
    <cellStyle name="Normal 3" xfId="2" xr:uid="{00000000-0005-0000-0000-00000A000000}"/>
    <cellStyle name="Normal 3 2" xfId="10" xr:uid="{00000000-0005-0000-0000-00000B000000}"/>
    <cellStyle name="Normal 3 3" xfId="17" xr:uid="{00000000-0005-0000-0000-00000C000000}"/>
    <cellStyle name="Normal 3 3 2" xfId="25" xr:uid="{C6D8CC10-703B-442E-BE24-38F0903972B4}"/>
    <cellStyle name="Normal 3 3 2 2" xfId="34" xr:uid="{7A16AC96-BC3B-489F-ACCA-AE7872F04451}"/>
    <cellStyle name="Normal 4" xfId="4" xr:uid="{00000000-0005-0000-0000-00000D000000}"/>
    <cellStyle name="Normal 4 2" xfId="8" xr:uid="{00000000-0005-0000-0000-00000E000000}"/>
    <cellStyle name="Normal 4 3" xfId="20" xr:uid="{00000000-0005-0000-0000-00000F000000}"/>
    <cellStyle name="Normal 5" xfId="11" xr:uid="{00000000-0005-0000-0000-000010000000}"/>
    <cellStyle name="Normal 6" xfId="9" xr:uid="{00000000-0005-0000-0000-000011000000}"/>
    <cellStyle name="Normal 7" xfId="14" xr:uid="{00000000-0005-0000-0000-000012000000}"/>
    <cellStyle name="Normal 8" xfId="23" xr:uid="{00000000-0005-0000-0000-000013000000}"/>
    <cellStyle name="Normal 9" xfId="27" xr:uid="{97C1C064-BD35-4B91-8F47-76596B303205}"/>
    <cellStyle name="Percent 2" xfId="6" xr:uid="{00000000-0005-0000-0000-000014000000}"/>
    <cellStyle name="Percent 2 2" xfId="22" xr:uid="{00000000-0005-0000-0000-000015000000}"/>
    <cellStyle name="Percent 3" xfId="19" xr:uid="{00000000-0005-0000-0000-000016000000}"/>
    <cellStyle name="Percent 4" xfId="28" xr:uid="{4A09ED1A-E8EC-4C7A-891E-64536B07EE7D}"/>
    <cellStyle name="Percent 5" xfId="30" xr:uid="{040FDE52-A124-4297-A5C9-197BB2F73D4A}"/>
    <cellStyle name="Percent 6" xfId="33" xr:uid="{FA768D9A-A79B-4087-B4CC-E4D0D9AE0A39}"/>
    <cellStyle name="Task" xfId="18" xr:uid="{00000000-0005-0000-0000-000017000000}"/>
    <cellStyle name="Task 2" xfId="21" xr:uid="{00000000-0005-0000-0000-000018000000}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rgb="FF92D05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E0F90A"/>
      <color rgb="FFE3F6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972325</xdr:colOff>
      <xdr:row>1</xdr:row>
      <xdr:rowOff>285514</xdr:rowOff>
    </xdr:to>
    <xdr:pic>
      <xdr:nvPicPr>
        <xdr:cNvPr id="2" name="Picture 15" descr="ridge4.png">
          <a:extLst>
            <a:ext uri="{FF2B5EF4-FFF2-40B4-BE49-F238E27FC236}">
              <a16:creationId xmlns:a16="http://schemas.microsoft.com/office/drawing/2014/main" id="{8DD9B999-0A70-4C98-ACE9-1EA9B80D4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ltGray">
        <a:xfrm>
          <a:off x="15735300" y="0"/>
          <a:ext cx="972325" cy="5979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439615</xdr:colOff>
      <xdr:row>1</xdr:row>
      <xdr:rowOff>131885</xdr:rowOff>
    </xdr:from>
    <xdr:to>
      <xdr:col>12</xdr:col>
      <xdr:colOff>2784225</xdr:colOff>
      <xdr:row>3</xdr:row>
      <xdr:rowOff>172036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F04E8D-C811-48B8-A8C0-D22FC35D9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174915" y="444305"/>
          <a:ext cx="2344610" cy="664991"/>
        </a:xfrm>
        <a:prstGeom prst="rect">
          <a:avLst/>
        </a:prstGeom>
      </xdr:spPr>
    </xdr:pic>
    <xdr:clientData/>
  </xdr:twoCellAnchor>
  <xdr:twoCellAnchor editAs="oneCell">
    <xdr:from>
      <xdr:col>1</xdr:col>
      <xdr:colOff>206024</xdr:colOff>
      <xdr:row>0</xdr:row>
      <xdr:rowOff>0</xdr:rowOff>
    </xdr:from>
    <xdr:to>
      <xdr:col>3</xdr:col>
      <xdr:colOff>435350</xdr:colOff>
      <xdr:row>3</xdr:row>
      <xdr:rowOff>249756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943596-7C39-4A47-A706-BEDDA6DDC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05084" y="0"/>
          <a:ext cx="1517106" cy="118701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11</xdr:col>
      <xdr:colOff>304800</xdr:colOff>
      <xdr:row>54</xdr:row>
      <xdr:rowOff>302255</xdr:rowOff>
    </xdr:to>
    <xdr:sp macro="" textlink="">
      <xdr:nvSpPr>
        <xdr:cNvPr id="5" name="AutoShape 2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ED8A9B84-06BE-4B17-8BD4-0C7D04610A0E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7630120"/>
          <a:ext cx="304800" cy="304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</xdr:row>
      <xdr:rowOff>0</xdr:rowOff>
    </xdr:from>
    <xdr:to>
      <xdr:col>11</xdr:col>
      <xdr:colOff>304800</xdr:colOff>
      <xdr:row>54</xdr:row>
      <xdr:rowOff>302255</xdr:rowOff>
    </xdr:to>
    <xdr:sp macro="" textlink="">
      <xdr:nvSpPr>
        <xdr:cNvPr id="6" name="AutoShape 3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73DEB4EC-6DA4-4694-A97B-E983C9BDE6C1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7630120"/>
          <a:ext cx="304800" cy="304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3332311</xdr:colOff>
      <xdr:row>0</xdr:row>
      <xdr:rowOff>129886</xdr:rowOff>
    </xdr:from>
    <xdr:to>
      <xdr:col>12</xdr:col>
      <xdr:colOff>4858375</xdr:colOff>
      <xdr:row>3</xdr:row>
      <xdr:rowOff>210848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5A6DE5-0357-408E-92A1-F659FE6B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25686" r="26667" b="26863"/>
        <a:stretch>
          <a:fillRect/>
        </a:stretch>
      </xdr:blipFill>
      <xdr:spPr>
        <a:xfrm>
          <a:off x="19067611" y="129886"/>
          <a:ext cx="1526064" cy="101822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972325</xdr:colOff>
      <xdr:row>1</xdr:row>
      <xdr:rowOff>285514</xdr:rowOff>
    </xdr:to>
    <xdr:pic>
      <xdr:nvPicPr>
        <xdr:cNvPr id="8" name="Picture 15" descr="ridge4.png">
          <a:extLst>
            <a:ext uri="{FF2B5EF4-FFF2-40B4-BE49-F238E27FC236}">
              <a16:creationId xmlns:a16="http://schemas.microsoft.com/office/drawing/2014/main" id="{D74C2E8E-3C70-4AB4-9E2C-ABA76A036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ltGray">
        <a:xfrm>
          <a:off x="15735300" y="0"/>
          <a:ext cx="972325" cy="5979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439615</xdr:colOff>
      <xdr:row>1</xdr:row>
      <xdr:rowOff>131885</xdr:rowOff>
    </xdr:from>
    <xdr:to>
      <xdr:col>12</xdr:col>
      <xdr:colOff>2784225</xdr:colOff>
      <xdr:row>3</xdr:row>
      <xdr:rowOff>172036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9065CE-D45A-44AC-9A63-25A8DCEE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174915" y="444305"/>
          <a:ext cx="2344610" cy="664991"/>
        </a:xfrm>
        <a:prstGeom prst="rect">
          <a:avLst/>
        </a:prstGeom>
      </xdr:spPr>
    </xdr:pic>
    <xdr:clientData/>
  </xdr:twoCellAnchor>
  <xdr:twoCellAnchor editAs="oneCell">
    <xdr:from>
      <xdr:col>1</xdr:col>
      <xdr:colOff>206024</xdr:colOff>
      <xdr:row>0</xdr:row>
      <xdr:rowOff>0</xdr:rowOff>
    </xdr:from>
    <xdr:to>
      <xdr:col>3</xdr:col>
      <xdr:colOff>435350</xdr:colOff>
      <xdr:row>3</xdr:row>
      <xdr:rowOff>249756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8C7DF3-A7FB-49DD-A006-D4234968E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05084" y="0"/>
          <a:ext cx="1517106" cy="118701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11</xdr:col>
      <xdr:colOff>304800</xdr:colOff>
      <xdr:row>54</xdr:row>
      <xdr:rowOff>302255</xdr:rowOff>
    </xdr:to>
    <xdr:sp macro="" textlink="">
      <xdr:nvSpPr>
        <xdr:cNvPr id="11" name="AutoShape 2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CD5523A3-6EDE-44D4-A960-9B57740642AF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7630120"/>
          <a:ext cx="304800" cy="304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</xdr:row>
      <xdr:rowOff>0</xdr:rowOff>
    </xdr:from>
    <xdr:to>
      <xdr:col>11</xdr:col>
      <xdr:colOff>304800</xdr:colOff>
      <xdr:row>54</xdr:row>
      <xdr:rowOff>302255</xdr:rowOff>
    </xdr:to>
    <xdr:sp macro="" textlink="">
      <xdr:nvSpPr>
        <xdr:cNvPr id="12" name="AutoShape 3" descr="data:image/png;base64,iVBORw0KGgoAAAANSUhEUgAAAfEAAAJyCAIAAABbnG7BAAAAAXNSR0IArs4c6QAAAARnQU1BAACxjwv8YQUAAAAJcEhZcwAADsMAAA7DAcdvqGQAAAASdEVYdFNvZnR3YXJlAEdyZWVuc2hvdF5VCAUAAP+HSURBVHhe7L0HexzHlbbN7z+sc/a7f+Bdr73Ba3u9TrvO2Wu/a3u9ttdB2ZIlK5JizlkkxSiRkhgkSqISKeZMECARiMCckEgwB5AEQYL87nNOd01N9cxgAAxAAEZdzzVodFdXV3dX3X3qVHX1oHffPV5YDRo0aMOGk/xu2nRq48Ymlteta1yzps42rVx5xNPhpN55pwMiwTff3P/aa9WvvFL+0ks7585dP23am6wcPvy5SZNenTHjHdY8//yWF17YsXhxybJlZcuX73nttarXX6954419b711gJhvv30ot1aNGlU8ffqe2bP3LVhweOHCw4sWsVfV3Lm7ZszYOmlSEFl10EQ0DsGBXn+9+tVXK195pYIMLFmy68UXdy5atP255zbPm7dhzpy1s2a9O336W1OmvD5hwitjxy4eOVLSHz78+U6L3UeNemHcuCUTJ75CslyQGTNWPvvs6jlz1s2fv/G557YsWrTtxReLFi8uXrp098svl5GxV1+Va7JixV4upl6T6BTuiMiACytm/KErskQ+9an/HdCA8hGlJSiN3Sorn4RJf/nRxL/8UPTIDyc88sNobUcyo5EjBBWY6SS9dm09v5s2nfaY3qBMP8b6AgLdRJqK9aqXXy6H3VASmrMSrk2e/NrMmStB5/PPb33hhSJ4CsKWL68k8ooVHcD66jFjdj3zTOWcOfs9rPNv8TPPbJ44MT1yeKGV6TVAE3Ry9CVLdvPsgek8aSAsnH322XefeebtKVNWgOCxY5eQbfYKMN0h2bmT1IQJL3MFlOnvcBSuDJeCZ8nChdu4UC+9VMwF4TFD/GQITuSOKMpKHAJe5yP2CirtgAaUQxSYoBB2q6x8SuEeNMhoPuGRH6DxD/+ANdOf/IltshDsG0gjCILeeeeQxS8Y2UkKgvPrMf1EJqaHNEcBrPMXyYJObGEIBS6xSSEaKzF7MVRnzVoFPRcu3IpxqlgvJyamPWZp/lhfN27c7pkzq+bMOfDccw7rFbNn75w+fdOECXG0DBfamM5ThCYCTMc0BqYg1Zg+dy5MXw1zp05dMWnS8nHjlo4a9SJ7BZjukNgdY3/MmMUx09/gmUFrwJjO1iConV5JYyL9goTn0kV1MU3NaRQCcGcTMf3qOqAB5RYFJih13S1XRKVYDxpkNEfj0J+/z5qpT/xkwchfLJ34m+VTf2dxCEEiJl0vFBKms88LY39lsV0ISJ2/2Hf9+kZ+YfrGjT7Taz2mhzRHAaY7KlIGSYr1UqxyOD5y5EJWjh+/bOrUN+DmggWbsE9ffHEnVDWKGdax8d96K3VFsum1IUM2TphQOnNm9dy5B59/Hqyzy74FC8qffXbHtGkbxo8PLrGJOKTPUWKmly9dWrp4sTF9K1maO3f97NlrZsxYCXlpXpDb0aO7ynRECmPGvERqLARBrwOtFmenl3pMl7bLm28Wnul2aD8EETqkKAkNAcedbKurrgMaULuiwAQlrbvlF1EtsIOM5mgsekiwPuWxH88f8YvFE34N1t+Y8ce3n73bYhKSqRmsBj036pcwnX2WTPzNy5N/++q01APBQkDt3CI+EOc3yXRWdhPQTaQPlUAn1H7uuc2AkjUEzNVp094EnazEin/ppRTWzTjNE+tvDB26ZdKkslmzaubNO4SprljfO39+6axZ26dMWTNmTHCJERFipleTsVdeKV+2DKaX0GLgAQNe580Tps+cCdPfxKaGwrCYvQJG5yl2DALPCVoAaqev4kAcLhPTXcPFmF54lzoJrpp7z8rZd7/97F1vzvyjZi0KQcwOKUpCw4pn/uCLNa62DGhA+YgyExSwbpUW27RSamuM5mMf+t4Y9OD3WDP5sR/NG/Fzh/W3Zt391qy7WJ9M0EglTH9x3K8AOha+Mf316b9n8+vP/N7EsgsBwZMiTtBBun79ibVr61evNqaHNEcBmjst0n/rrQOvv14Dr5csKZk/fyMsY+WQIXMnTnxl+vS35sxZG2O9eNmyUiCrfYMR1onp8J1Nbw0fDr6xzUG5w3r1vHm7Z87cNnnyqlGjklcZs/eNN/Z63aSlkNSY7nWTriJ7MJ3Hz5gxi9krgHVGES0II0Y8b2LZ7PSMTNfehWxMtydcgU11Uls1R5k+K2K6D18Xgr06pCgJL/i1ZUADaleUmaBQdasyFlEtuYOM5qNNf/oua8D6/JGxtT4TrGdgOmKl+F6eHw3T/wegL52Umem+WG8hQLmJ9eAblLOQJ9MDLndRHAIkgScdBlPMv9OmvcHvsGELoBtomzt3XbZhMLHPIeR4oJUjRxZPn14xe/Y+w7o3DAYrHugHlxg+mks9ZroMfbFu0uee2zJ/fjT0hbxNmfK6dZNmHPrCmiA4go8YsdBp5EgRWzvEdL0O3cV0zaww/Z3ZYl9QIvnXMd2XxSQEKXRIURIaggozoAHlEAUmKEvdqmzlU0vuIKP5qFismfzYj7G/HdZZEySIWJnG9GWTftsu052IQEgy3TpIN29ODXpZv75RmS5buxXoJo7yxhsyDIYFuAnLMH5ZBpQYwjNmuGEwgnUdBtNhrNswmD2zZ+9fsMBh3Q2D0RTSrnLM9Krly2Xoi3WTkjdv6MtqsAt8J05cPm6c9O4mQxLfjuCqRU6jRkl+OsF0MkmThatXWJe6Zl+Z/qwyfUZWpjvZLhaC1DqkKAkNQc0poKIDZApBzAH1WnGzgsLT3cpRPLTsDDKaj3wAfQexZsrjP35+9H8b1vk3SBCxMp3pk3/78pT/fXXq716b/vt8sI6IQ/CZbh2k+TA9YHEBJXnS4RwwyzwwNkAQzGELz5yZcRhMx0Y3yjCYGTPg+IHnnnNYx3jXfcOrjOVL4l43qRv6It2kRAiCdZPmSXATHOccnSyFBNPX5mR6NETdnm1xB0PauXROpPPu3HtXRkxvH+iBup4NUli58gi/LgRVqNOy1EpKrtlCcfEVtG3bhU2bTq9b10iNsKO7EOw+oN4j7o5fZrpb7ZYHiwDKR6D7RcPv/zZrpj3xk4WKdZaDNBEr05iOkf5KB5luIiYhZrp0kCaY7l446nagc0pyVoMGwSmYBbzmzFk7bdqbQ4fOZ+X48Uth3KxZ74I2GwZDHM+hnO/oxlfjYTBVc+ca1tlF98pwlZXpUTcpTLeYLsBZ7SYVl7p784j12fCNAoKb4Lgn6WgNmK5jGe8U09M6SANq51bXs0EKq1YdpQRSDimNlEnWuBDUpfzFvrt3X0cslJXdKC9vQyyUlrbu2tVSUnJ1x45LW7acoUZg0FAyubx6QAlBUgO64+KmBMWmW5VPMbA4RvPh94mG3SdYn/7kf/IbJOgk++Riui6klKC5L0kr7iD1mH6CWuQNTu8hoBOWL69Ui3jnc89tBuKTJ79m6+NhMKsXLNi8aNE2fxiMYV0dyka0EOW+VsTDYKrnzrWUg4trsk1+WBZ1kzqXevTmkY5Sf8NGqZuhHeM7A8FVPsSF4zREYslTIU+m85gJmM5TzXLun0jnJCecGPQSUDu3iB+k2SGxOwUDpgNW2ouUxo0bT1I4KaIAd8uWs5I/LwT1KpuIWVx8VXWFZTgO0Csqbu3Zc6uiQsgO67Hf2bpr12VnuROTosVFliPFIUh5QD0v7kJQbLpbed53LSCDjObD7kXfGnrvt2xlkKCTbDOm20BGYfo0YXpWrPtKYB1JiuELR2lMT0dwASU0d0wHTPwa07HH583bANcwgVk5ePCc5DCYpUtLly9PG91IzADiCR20YTAaM7yyTmyNu0mjoS/pbx6lRqnPnLly+nQZ0chTx0x1n+Dp+HZK4zhiR5U45TMxfYPHdGmjLEsw3fpIXebdiXROpEBwHaQdZTqRgwQ7Kj1+FJTpJyiWjulbt57duvXctm3nt2+/sH37xR07LkZR00PGmuZCUdFl8A3W1Vq/iY4evV1b21Zff7OxsbWuruXgweY9eyTlrVvPYPSsXdtgzVZKEWaEpiEhOMqAekxc/KDYdLfyv91aNAaBctPT93SN6cboNI7nkIf1dKbLS6QYSqxPgLhQSgHdmA6b4BQLxnRAhmE+bdobcJCVQ4fOxxyGdHPnrtP5T3YsXuyPbozQRsx0iPuKruDKkSM1WuqaJkUEZXrKpc6xbJQ6DQWeK/7oFxBspjp7peNbCJ4O8ZDjaNw4tNRECh1luhv34nLuzqJzIoV3596bGvSSRwepry5mgN0pHrGRXse/hE2bmgD65s1ipBvQsaMd03fsuBTrIiuJz1bb0QXWOEWrNJg/vaTkaknJlYMHW86cudHWdqu5+XZT0+3Dh28R4fDh5urqS0VFl1imglA7eMzAdzJJCeGRr8lICCr2gLpVXPCg5HSrOnSLiQmN+YXmT9/zTTTk7m/yb5CmkyT9/Oj/fnF8xPTlUyOmO0wTIUXtvCXpqh8Gs8i9cOQhuLBKAzriWOAJi5gFx3SIBtqwgocNW8D6ESMWTp4sk3zNm5d1kq+cw2BSV9AtZxNxACXPCYwyM9XjEY1pprpOEpAy1dkrQXBTyPEA5ZjnJlJol+k0UHIw3TLvljshdo+YHg16EUwH4M6hrh995cojtBEpgZRDNdJTzvRMTHdAv8S/Fs0neCDbSkxViu+kuWPH+X37LjU0NJ8/f+3GjdusvHnz1pUrN0+dunHgQBv/VlZeraq6uHv3ue3bz2D90Jw1tzvXnxuhyUQhqOQDKqy4wkGx6W519LYS2bAOzXMDHUnSWZkuRvcfOo11xI7GdBucng7igiikOeJA1AroCaqWLCnhX5g+X2dWmTlz5ZQpK4Dd4MEyQAXLNx4GE0zy1S7Ww+uYW5olN0rdTHVxv7gXSv2Xj8xU10GNYmgbwT2Ip1CezvEUysePf5lHgj0VfKbruJeI6epx2kkGyIadsv/6FUx/661U5t2JdFTsS5AO0jn33ClnujPSrXfUvC5qpJ+RzCl/FegXshnpOUQEexgY00mK5wSJa8ISdu1qqqhoqq2VmCdPXobvbW3C9xMnbtfXi3+mrq7l6NFm6F9Rcb64+CzZo8pYu5aSRrHh1mhKEoKqPqCCiAsbFJvuVidupd5/Yfrgu77BQpCgL4knTI99L4VlOmJfZbp4DxNE7qJCmps4kDVjsYUXL5bXjuJ+yLXPPvvutGlvgkusXdYToCHIi4fBJCf5yji6MbyI7YrdSYSk3IjGV3SSAB451lMazOdl8wQYlH1jPOZ4BpMcGcdVr0ycGIkUlOlv8ejyx6dzUA7tMT2YKSHFdMu/W+6Q2JHQ6Q5SIgcJdkjs7hvpGzaIJ911jTpPumRR0JzV8ZJDumPEdP4lQVLWWTGadLiXTFDqwu7djVVVTceOyRFv37598+btlpbbV67cvnTp9sWLradOtdTWXt237/Lu3SR1jgeDGu/ityQ+BZ5bo8lEIajzA+q0uJhByelude726W0f9FTnmC44VqBTrzqHdUlXAyDjtxuYHqLciQNR+uHm0qWl6njZyhrthIysYHAJDUfqu5oEaDhtWq5JvhJYDy9iPmJ3WElq3iQBKfeLeofEVPcHNfLsYa8A4srxDCZ5OsqXmyZNkhRompCgMZ3roEzfEjDdzjdgeox1uaT+ueQvdlw9TxwvGWcFaFedPq6J3dVIr3XDXTZvPhUAHRAblIlM8ICel+NF9xUDn19SI1lYrI5y+2ZArZnblpSFjRtlsEB19amDB88eP37hxInLZ89evXz5emvrzdbWWxcu3GxouH7w4LWKiis7d14iWSJv3XraelY5Fwq/NkPllToLQc0fUIfEBQyKTXerK3fN9iUEaTpFm3MzHeWPdUuQAAd92cp0KHdaIcQDcaDXoylfdmN3wy/WgDOMcZ3+8E0dA/7y6NEvDhv2HJsGD54NDadP9yf5ko9F+FinFhGz00BH7E4iXAryZqY6rQGOYu4X7SmNBjVaTymPmcmTZRZ4D+WO45lNcsdx1auIFHiAkYgyfeXs2avTmV4UMD0+WXmGIc156qr6p5On2Cutg7QHmc6+lBY10uvMSAe1MdDPGdCN5mqeRxY6exE6aKRLIvyakU47QI30qPOThgKPRk2VSkEBkILkwubNx3furK+oOLlv35mjR883NopzBhO+ubmtqenm0aOtVVUtRCsray4vv7h79/kdO3hgSAsAuJPym2/K7EaWlIUAAQNqV1y0oOR0t7pyp2zfIEFfFiFg+u+M6VG90mlLRUp2IvsE92VJ+RwPxNZ0NHdOKXZnFEcxK8ac6ZjAYBpQsn7GjHdA29SpsPI1UDh27OIRIxY+/bQMLR86dB40hKTEdFhfFg2DCUY3hhcxT2nGnPslbT4vGhMc0fWUQl4b1KimujhPEhxvB+VK89dMJEIKxnTaInPnyqeOPKbL04sWg8f0yN2k2barGl35jp4+8QnpHaQ9yvTYk25GunldzDwPgC40LypCl5GRvaNMVyNdHCabNolNzRHVJ36MS0c0R3NbQBQnK1EubN1aW1LSUFnZdODA2ZMnm1tably/LkNlTp68UVt749Ch1oMHWw4durJ37+WKigslJWe3bTPjvZ6jcKes2FtShIAFA8ooLlRQbHpAXbw7ufPM1pUrj4ZMF2c6NWrGH6iBopn6O+OPrElinX8tOHZnE3FiOnRaKXZnk+UEPJkzHfsXUGKAA3Q2TZ26AsxBQBA5Zox8Je7pp+c9+eQsNg0f/jwoJBpUBXn+MJjE6MbwOuYjdgSU5I10zP3iz/1i7hdvUGPUU0qW2NFx3EN5yrviOI58lJtIhBR4QtBGgek8tGC6Dt+MPl/HQ8VjemqCBAd0fU3sCAsdPXfiE+IOUphOKZLyE4A7m4gZJJi/2JcMO0+6vWRko9GTQHc0d0xnk2S9PccLwdLhlzTVSI8cL+YnoXZxGYnmUO4vG9adNL0obN9eh/F+/Lgcpbm5Fbi3tNy+dOnWmTNtJ0/ePHHi+rFj1/bvF+O9qIgHibQMdNiMuHrsTvkhgMKAnLg4QcnpGdl9IQT5yUfsFaTmxCbuPmVAmP7SeHmP1A1Op0aB8jdFd8USuJvBrpmJgvE6TxGfQ3ZKKWrnFocAmr4zHUrCMhDJJggIEAH62LFLRo9+ceTIhVjogwfPkTPJ8K27HJN8hVczH7EjVVeZ7rtf3EB16Sk1U50MO1OdvWKORyhPmOQplHs0XwHNVW/YzJQ8ruzzdVwQHh7ac1DE40SZXgrT009zPxnmyhvQV62SWe/t8vpnlFtEFmf6neggZV+y7Yz0TZuatmw5nQS6o/nOnc0m/Vf86aRANH4DlDtZBEuKf9XxIka69Y5ipPNEcY4Xx3Hk/+uAHog4LhQXN5aXN1VXnzlw4MLRo5cbGq6eOtV68WLbuXNtDQ2thw5dq6xsLilxGTjFLhzdPDM0vDAaLB1CQIe/cnFBgmLT87L7YiHIXjYRM0jEiU3cdwpezPRJxnSxvrHK4TiNZV9WJy04THdU7JsO63wUgjuHSB8qQSjnTAeRs+Qjzm+CP7ZCcyx0Bfqi4cOfGzp0Pkw3U922QkPMZIxZfxhM17FudZvqSgox0zP0lKqpLkN04vePxFPEjnmjXAxzh3LVm4gUYDppkjJPLGP6Cy/4TA+HqJNnLr4BnSc/C3Yv8j93YqY6SHuc6eQ5Hu4iXaN5AP2KSrDO7mp9o8ge92mObI0lpUwPekfFSHcmsyO4KVjjOJ5Rcuw4bNp0fMeOht27myorhe/HjjWfPNly5crt06dvHj9+fe/eq6WlknNyYgNmqNu0ErAhaIFhmtgYMAsBJv46xXUIis0dlN0XC0E+fbE12NEXWyl1MiBlocd0c7xgkivHqYoiPZAEh+auiHRiWOejkNo5RMpUA8AUONOxeWEcdi4RMMah+YgRzxvQzZ/uB6x4IvvDYHg8eJN8Ra4JYgYXNIdsDAm7BC712FR3PaXmVd8cz+qFqf6WOU88lKc4jhzKA8PcUM6TjBSQNVMc0zmEMj2c8sUfok62uf4G9HffPaqmumE9LycMcQh+B2mPMZ0drWSrkX5CjfQzHtBlmIoBPaZ5s73/iRzTd8SjX2wX1gRMt/UWQW1k6x2V0eUcl6NzuQLHi1Ow0hE8uw6YJeHCli11O3c2lpWdqq4+V1vbfOnSzcuX25qabrDpwIHL1dXny8tPb9/Oo0WcPxQ57qxiPXofwhKxEFDjr0SceFBseo/svljIP9tsom6av9GY/utlMdOpThjpBUe5L9I0OuRUiOx2ZVmFlZ4zfaM506HeBB3rQpxhwxYMHTrP0XzcuKXYv+agIDz11LPEBIjsmG2SL+ph/lg3oDuss6+6X6p59pBg0lSnbWEDYGxWL3JC5tkxE8eTKBeaK8pTNFdJd4K+dhQNUacVoky34YyO6Wkf8+OSgnJKCYKSTtydfM6dOITUoJeOdJASM0gtf7GvAX3DBvO6pIC+Y0cI9Jjm0Wxc6UzPinWWbWVspGdwvHCVrJA4dseKqoC/Mp3gGSVYN1myLmzbVo/xfujQhTNnZMrfkyevslxW1rR5c53m4SCH47Zyf9V6SHt12VKwEOCjH4uTDcpM75TdFxdy55xNmBGUfIqfY7oMZPS7PQlW/rpDJB6zO6NCXucWxojZRPBIy27kTMcmNWc6KITdNibdXiIlsAbqgU4KN/hmzYgRMmXu00/LMBg2YdVi6dswGNLMNMlXeGUDOZqb2IUdOf0cpjrZ5qA2Vt06S+15kwXljuZphrlH87d5MCCsfhIhTT1Ze+1oR3KIevzQkrYIF5ZSAp5Wrxasm1jOH+uIaH4I2J1NxAzSyVPsSPbWrq3zgW78dUDfuTMN6Do9i2O6TLJIgOzqWBesO7LbJgJYN6DzC9P93lHneMlipKfKvy6kNnn4zqY0rDtpjqJQXn5y795TpaWNmzfTUDjIXhzl9egbW/aaW/TdRGO6lrF3o53j4NjXX8U5BsWm98tuTbDSiU1xVa1Vpo+JZli3YDYpViTLrgh2h0g/neNOIbJzy4BuVSiHM33s2CUge8iQqEcUas+cuQp6mhnOGuwXHgAAneXhw59jF1Bok3yxCQNnWeZPmIbX1ykAOiI+lZAKzO7mVdfKljLVPQ8MVU5eK4XFzzzzFjuCco/jDuXOMHcoz0BzxOOBRHSIejCcUZjuDX3h1CL/EpdUC4r4MWjQOfFvh7BuIrILAcGTIk6we55iR7IHWK1fFKAbyk0O6EZzOK5Av6YSpiNSMGvdw3posNuCrUk6XmxYumXGo3aG8q8LLkJA8IzKjHUTCfrBLAZuKw9siq7fFrSXIYzp9o4b8a3A2LPfgs/BfiPOyy8w/UCcEZWRKmlGOoVf796gQXGvoPkZyiEXK/0iWHCRvsdxpxDZueUDnUKfw5k+ZsxLkNqM9DE6vbgfYBmWOJijWNuaUaPkW3fsrsNgMk7ylQvrAc2diM9enL5iXTwwsakuA2B4wLhax3FpKJgHxmodJ+Kj3Kd5EuVWP1WrADrPNpIikXg4o7jUlenFPAKN6cuXy3BGPTXH9MPGdCzfdesisdw5rDuxlwsBzU2sD3bJR+yFqaJG+gkH9KIic7aIfKCbeQ7Nd+1KMZ0UzITPgXXJtAb+NceLDUu3AYVUKhuWbpCNeR0WfpNGsOUCYN1So1CZVS5ZjANtMnXria2g5UrMBUqFFS0KFXEoTlaKZsywMpOy330m9mlxLkGZ6QfipMxIx97SPqRGns9vcYOVXDbSg5a4dAkSNS5w3SUO4dG8Y0B3NDdZbsk2eFJn+nbIhRlCqcXCNWf60KHzbYjL+PHLKNCUcs7UKgOXBpxhy7ASK5g1hLFjF7MvMdWwdcNg8hrdGKDcichaIanAZqq794/crF47rQZq9cOSkjEwnAU75vaxPPNMhHKUpDm3GCOdC0I63GtjOs8P102aPvQlGs4I0+35r3NgNTg5rFOYMp5+nmJfP+gby50H+qpVRyjWNnhx27azAH3nTuO4kwE9RfNdu1o8pl8lESLkwDoRlOwilgPHiw1L57LEBTIX0JHGcf92FeuWWsx0eaNNi5O8pcwmP1BCKDkUJ4o37VEbPoAFQ8m3EhUXISs8q20vAljsuyL/QZnpB+KkqIOukmJVUA7lJUPuXDzlbGoSK2J7Ba67xFG6DnREOli+UCmHM938KpB94sTl0A2iEZ819oECagVnTTUA35N0phSCDoNZARMhLBCMsQ7+0kxaYvoXOuC4L2ISn5rJjs5U57ikSSUkcc8DEw1XtwYyJ8K+xnGteBkMc7WwstIcYfiTiJvJS5meNou6vWDlD2fU4mIv70iv48aNJ5Bhfc2a40b24PQ7JxJxIdjUrthFLXRyKANdtm49s2PH+eLiyyo47pRmnivQTYJ1EjGveg6sEweamyfHOksJ/qRd/nwAuYFu0mju3/yxjkKsa1JSopyVwJ1VE8F9Totmn0wSJ5mOw1j9fAotV4o6cHdkpyx55SdVeCwEuOwTIttBsenr4ox8C31dPFGdtLmo/7DDHMfKrLIeYzriQAGycyuguYlEgBFFWcuxc6avSjrThw9/noLLVnAGT1lDPTSsU1XgGmY+l4LHAGsI3jAYwbr53zkQl8j3PhPTLrRP8IwiJlWRvWKvOpWwyr1W6jwwrio6xzo7tovyHDRHJIVIZ8EC51LPPfRFhjNaoTGmb9p0EhnWESuBOxFIk+BKW0+K45IBckLGjOaY5yUl4DuQ0fyq0lyAvnu3yJhOIs5az4Z14pi1br/O8SJnrvOPOscL/+YDdJNGdv92HuuWTsB0ypLZB1aQKAmUE5CNhQ7BXSG3QMPUI/sbRnYKUlxy1mMNmFiO9ukjfI/y2o+wzrk4oMc0j6aSlhY9t5l7RnsclFDD1b3Qc0xHHCsAdzYFKDexO0UcQAMm8s9ZLFiwmYLIeSWd6aNGvcApA2higlTWGNMN62TmlVfKqQlEICZrhgyZSwqUbxLkElFDdBhMOLqRmFxon93ZRExqIBnmWL6pbvXQeWA4Cx4hHNFzrBvWHcqdj0VorihP0dw3r+I66arlBtLhgaFMzzyTF3kjk1xwr9xETN+yhXLThDlsfGflunXmiumSH6YT4nAEDm2dotu2nd258+KuXVdKS6+VlsLrq6prJjPGPZrL56FVgnXSUabnwjpxzFpH5kx3jpf1+ml1gjcfQFjIsykROcJ6fmRPYd3SoUinM138kNbm49ZTHigkGAQY4zRGITgcZ0f95q2M9HWBrXCfmkJkChjFac6cdZQc0sEg4AnhFO3Qi+FO3mhTvvtu1ANECApS35KdQgB0GxRg79bJLCjcM6o9d4vbTw2nNGCyGe/SS1s3imP57E7Kh3ggyydFmZxnc6YPG7bAnOk0MymmEA2Q2XEd0w3rEA3AATsgyJOANexLEWcvffIJCr1hMGmjGwN8ZxMxic/RleliqoN1UnMDzkjfsB73a1ltlG6rbIZ5njSfPx9FVdFzqftDX1I+Ja6tFp2USx0LXV/LPLNt25mtWylDp0E8K81gp+aQLCEohQWXHWX16qMbNtRu3ty4bdupHTvOFRdfAuLl5a179tzgF6zHuo6M3Y7mpaWtDuskZdZ6DqwTx6x1U/qIl6h31LVXCFzA/JWI3xmsWyLK9CpupTX7uLleKUr1ugNrjHFnqusXtWSmfv4F9FQZOYc4qMEu7yFTqChLFB5sJtJcuFDEgkomQLUQIPUOyvKzZQsNOOyPxg0b6tetq12zJnWbCEHR6uUiw7FHNKqSMdBl2C6N1KKiizJIjhvG3TKmUwiMVqCK/dOLWjdK8xpy3MkneFLsCxzJc8KZ/hYF13emDxkyhyILBMEZhd6sG5/phnUqBheBymAYJZACSXGhICPFl03u4ReMbgzwnVFEoxJqpd27YkWNmurmgYnGwJiF5TnWo5Fnlh8P5Z2huZpam0iHC6VMj1zq+XSTKtPFYb19uxQgSMoCZFfLXXwywH316u51xZAyj5n166F5w44dJ0tKzpSWXigvv1xZea2m5kZNTVtVVZth3amsDMRHBFfE868onem5sE6c2Alj83yl5njJ1DsaFu92ldirw1i3FIzpnisvbdoJygOFBGsATKup/qrh26c5oMeCobRDBuJAfyK4wO4ULUoURQj7xswCCip64QUkx4qiaggg25Pi6MXFZ4uLz5SUnN+9Wz4jVVR0evt28CeNqk2bjq9ff2ztWukN8kNQ2HqPLHsG9LjdnDLPtT7aoIBL0t+NBQoIuOXcD8d0KEMS6eWse6U5DmmOfHxnFDtSlLFNYBNli6IGyODdtGmhMz1jB2kgVpImp0+VAKmUftYQxox5iVIOTIEjhon2JweTfHUU69TYyFSPsS6tZquNJB5jPW1AMTsmUd4hmlO9VWJYcYKxS13GO3Eu/iOKfAZGQcx06sa5oqILmMbFxRdjuFOwzmzZ0rRhQyMpsxe/hKBodlqWGmH9+uPQfPt2aH66rOxcVdXFvXuvHDhw/dChtoMHb+3bd6um5pZhXXWzouKGMj2zSFDJbkx3WBfPu8M6cYzsMdP9UYz2tbmgdzQs2+0q014dw7qlkGB69C6bswwoHpQcNdXlFWUbDpBO81dZr++12dsPqZEwFDwiu5COdSlFFFp+EVv51QK80yJbCLDbfeJY1dXNVVVSPKqqmqurr1ZWXqmouFxWdr60VLpASkoad+6kFNVv3Vq3eXPthg3H1q2jnIv/0IWgBN5BkRlqIgWMmmj+FtdidjQvKbGBAJdh+qs2nJGar0yP+gB7nulIs95hoFOmoWo+zvThw5+nvEI6TpOizxqf5k6sp3JCWB4SXBN2YQ0BWwbLhSpBacbIpbYQwVDombdSuwzcOUQcsm1n7WGd2hh5YBzWeXiQh9jOirDuGeZpNJ8zJy+aU8Ot7UxSnAXWnDI9s0s9vZtUTANlOlaPMH337uZdu9DlkhJK1cWiovPbtkmdITK7+O6IoJjmqWhncYke3bDh+JYt9du3n3A037ev+fDha8eO3aitvXXs2K3Dh2/5WK+shOxtFRU3y8vB+g0Izq8uyLIHdFNWrBPNmG5Y95zpkeMlfdKutCKdvzLt2wGs2+4x02nwwXRr8MnoWG43BYDyQPGgtGCaQGoqCCYdOxrNMYBi8zwDza3IaUmzAia9Mi6YtU5B4oj8SxOWDFA1EOWZcoXIlUUmBAguoCz948dvHj585fDhy4cPXz18uPXw4bZDh24cPNhy4EDz/v0yYKmm5nRV1amKiqayspO7dp0oLm7csaN+27a6LVtqN24UE57yZklZCIplzyg6djxg0eogNDfzXAfs2oiAy7t2XUGGdZkfipvH3eImceN5rsZM7/bXjjKKg+ZJc5NlEhLFznT5ojQlj7JI6Qyc6dpB+iaFG/pT+lkT0NyJTdCZUkhMCOg8jOPHv0xrlMulWJdJvvRygfU0TzQxA4gH0gg0mVNYVyeMvFyqFTLCuhk71qT1sC6jygzlWsc6Q3MSRFhwJMUhqIqx+8WYHrjU/W5SKU/KdNqzwvSysmsVFS3l5dfKy6+WlgoBMR9ib4w4MdevZ980J6YL2QqxC+y4aVMtxlRRUUNJyYmyslOVlWdrai5QOY8cuXb8eGtDQ1v8yebbR4/ePnz49oEDt/ftu11dfbuq6lZl5S3DelkZEqA7kbiR3WE9nemCdZhONPXAIGO6OF4c09XxErw7mlaeO6RMu+eLddvXYzpFqGzJEn+CfusptTn67V02TPVokriY5uJsCWiuLUKjuTQBtXRJuaJEUZwoS8kh8No9k9bsI/8UJ0q+1dkAxAWRHZrnOk/3piZKxdUTJ1pOnLhJ8Th2TEpIY+PNhoaW+noposePXzhy5PyhQ+f27z+7d++Z6urTe/acKi8/uXs3FkPKhN+06TgmfM+7aOwoZptDcyqgNpRtkILUPqX5RaN5aem13buv7tqFZIiXvCUP5rhtsIA75GxPM2PTi1cPieM6ZLcrIlNiKD3mTAdYlDmKYOBMf+KJmcTM3UEaSE9/P483agXF10YIDBkyB6OGQk8RZyVMdC2b2MIVGhLTJ3hGEUc9oQHWxQOjbWcf66lhMIZ19s2T5rRafJo7oFMPyTzJIlLjKByLg3IlvTZH6FJ3TMdGSGf69aqqG9XVN6qqxPjdtYvSdqGk5Fxx8ZmdO08VFZ0sKjqxbVvD5s1UklqrJxm9mbR/Wc9WbCUsJurVzp2Nu3efLC8/VVV1Zt++swcPyjTidXVXGxtbT51qO3v29unTt0+duk29bWgQrFN7wfrBg7f37vWZ3lZebliP4M6xnLXuYT0w1QXrxDQPjJK9Od2Z7j7z7787mlaYO6pMKeSFddvRmQUUyIT7RaYSsvJD4QHWhnU4zr4xze1tUuuHT9J8vZUuLVRmHESliENQSjmW2el+CLBOnbUGTUDkTsuOQqiro6HWtm9fW2PjrUuXbl24cOPChVtnzgjNKRKAnuULF9rOn5celNOnrzY1NZ84cbm+/lJt7cWjRy8cPnz+wIGz+/adwYSvrBQTvrTUTPgGM+E3bxYTHiNjzZructFEKcaGOSjXeleLYWTOFhrB0Jx6h0kOx8vKsKWuIxYgu2L9qoy/pqnF/eOeccu5PdwYSgNkIen0stVz4tA+uHOImJRjSjCFiYJFUaPIUl55UAXO9MGD2+8gDaRXYC+kwx6nKPN4YM3QodEwGGAaY106ITysR6MbA4gH0gg2aCEN66RAOlon28F6QHMzoLTKGc1zmecx0KV3y5yeyvTI/ZJ0qZupvn59g1kK1u5Tpl8pL2/Zs0eYXlPTRjo1Ndeqq6+iqqrmyspLe/Zc2LPn/J49Z8vLT+/e3QSgVWINUVuwvgE3dYYFjCOawKxna2npifLypsrK0zU1Z/bvP3f48IVjxy7V11MJr54+ff38+bZLl6ift8+fv33u3G3IDtZPnhSs19UJ1g8dElMdpu/Zc0uBLkx3WCeTZqo7rDtTPcA6MZ1XHcXOdGH65vjT/qvTPmmUVow7oSyJtI9129GVn9hUj9wv3GvDOjjW8iMemNhalx6jhLMlpHnCPHc2gZQfqoABnVLEQc3xQlkiGySeLQR07pCiJAYN2r+/9fDh1mPHbhw5AtBvgvUzZ261tt5uaZES0tR0+/hxnvHilzt58tbly7fZpaXl5tWrN5qbWy9ebDl//tqZM1dPnbpy8mRzQwPmwsVjx8SEP3gwMuGrqk7t2SMuGiu0VmIxOAplwke7afANc5uQa/36+k2bGrduPbljx+miorPFxZhKl3V8V0tFRWtl5U3rN2LZyL5797XoVUnuIoDgfnOTjFB2M9ILVs+JQ/vgziaiUZoxTChAFCkyT5mjFGZ0pufTQZoU0agntCUpu+xLIqzhOTF5cvStO4hJghzdLpoPRGL6EE9KIwjTkZ04O5qpFWBdfetpWGffdJqnAT2guZlUWg9TQFeai3mlFVK+mcCxrMnsnkxmWFk5w2Qwd57aCwHTW6uqbtbUyCc0jx69gY4caUWHD7ccOnTt0KErhw5dPnjw4r59F/btOw+jqS1WYcytWVUFu0/zL1YS6zGXaBRTr44fv1hff/nEiSunTl07e7blwoXW5uab167dvnLldnPzbeqnT3YMdiowWKcOU4H3779VXe0zPcI6OXTWumI9MNWdB8YNWo+86rHjJeVMd46Xd97pfO9oUlnSyQvrWn5cx0zKVHeFh/IQYz0aSRW/95DmOjeaq9GQpHnSPPeBnqI5ZRgjnbJEkSZjWqKk8Ueh4nJZ/SUEsM4hi2+huFjQVlGBAXFt//5rBw607t9/k5ZiXd1NjPTr129RSCgV2OxHj946cIDy0FZff+v8eSmiN2/evnVLdPMmMSlRN65cab106fqFCy1nz147ffoKJnxjo5jwlEA14c+ZCV9dLSY81gY2x65d4qLBHIl7WakdRwMTPp9A5dL6JTNb0BRW1VPRtCO0ccuWk9u3n9658+yuXefLyi6WlzdzypWVmFCcLCVcRnmxDNwrK43srdLvN0WHM3ILuW3cKmo494a7ws3gkOkFq+fEoR27s8myR9GhJJHt3M70PDtIAxGNhyf1BN5xcSj0rCGQMqnxLyUeYsZY79joRt0amerITlyrZQas+zXTYT1J89jZItXPgJ7JPDegQ/PIwrI6SYIcLj6FqMsXU8KZ6s79Ym9seky/UV0tuDxxQtwgTtSoxkbawjcaG683NrbU11+tr7+CGhrEJmpouFRXJy1fxAL/UpFoDmMxNTVdoXV87ty1ixevNzffuHatDcvLdP26mGBXr4ZkpwJjrTc23q6tvXXkiFRjnjGx4yUSOfScMGmmehLrRDamK9YDx4t8TshmS1fHS2GMdKcsqbWDddsraapb4eF2W+FRrG+iwMBraj0EZ0dHc888T9E8o7MlaZ4HQKcMO6Bb/smkA7rZpPJNZA0Bvk22yQV9MULG7dkEbYr1K3v2XKmqolHYUlXVevDgjfr6G6dO3bh4URwvp0/fqqu7deiQdJvv29d27BgmvJSBK1duXbt2q6UFc/7WjRu329puE9raWG4zE/7y5euY8BQ/M+FPnKC4SkH1TXi/lxUTniYmJvy2bXWkv2kT1QQTu3bduuNr1tDATZNZSFah1B5n5XE4rp2fJ6lcmzejU9u3n9q585SNxSwtvbhnz+Xq6it797bs28fTq43irQ+qW3v3Sjl3fAfu8kLw5MRwRm4S94ZbQv68ItXT4ug+wZMiAsWFApR7ZPoTT8wgZtxBupFSSDljTYDvbLJscDUouFwfN2LXDYPhulHcKeV23cgPkWMmdgDr8YmLRZPAemhwUceobOyutS6zeR7QfNEiobnzt3CjXZ20aklqHIgjaoVMuV84fS2IFD5xv2zcKB+Eo3bt3HnRmI6NQJFid8xkjGVfmM9nz4opTR07f77twoWb6uhEtHyl5tD4xT5iAUOJuoTFRKXCdKJ2YUZR3xCGlYka6LCOwW5kB+sXL94+c0bcL3V1tw3olPKKClOEdbJn1nrMdIf1kOm7dwvQwbrP9PRRjKlh6ep4KZiRbsqeWi6s216JwlMGbbm/mbC+Ica6TNSVxXWeMs/jPpioeaejXNL8LdbIW77cmecpoGsOHc0joCvabGp+qWXJwFNzg85hYm+9b0l9KPwcC4r1S6WlSDp1ysuvV1dfP3Toem3t9aam6ydP3jhxQvpLAV9NTVtNzc1Dh8TsAOvnzrVRFC9ebLt8+VZz862rVwXxmPaULs+EbzMTvrlZTPjz5zHhr2LCY3BgeWCCqAkvvayY8H4vK4fYtatJu5HgctO2bfLGE2IBrV9fv2FD7caNdZs21W/ejI3PY6Bh+3bs8ei1Dx0lfB6Ol5Wd37PnfHX1+ZqaS3v3Nu/bR1vk+uHDNIJpechwAF0Q8+XQoWhcQE3NbamGY8a8NGmSfAKCOwoQuXPcLe4TdZsyQf688nQHRAYM3xnFVgoNBZcMU85gGWU06Ux//PFniDlmzGLsd+JQBC1lH9y5RWTIywXhQFwiEmcNYfz4ZcEwGCIksJ57GIxsDUx1VapmLl9eQW1RrKdNyas1U77moUBPo7kDuu9scUAnBaV5GtBJnJopZzVoUJB/LrWZ6uZ+oaYZ1rdvp/BdLisTprPXkSOCVOO4E+YzRjSmNDY1AsGwGCKDZjORsI8IYillCVbHfLizo8M6CZI+B1ILXXrDMMqqqhzQI6yTvdhaTznWc5jqxFdrXbzqxcVXA8eLM9LhEVeGyN6NK4yyp5kV67YLDI07280DExkE3GVuejassy+/GZ0tgXkeF578zXMBetI894FuvmOEucqTct061MgVXr/+BM/OgOlO3AhKYFHRhZ07L5eURMM/sNkPHrx6/PjVY8euHz168/BhM2PFQbF/vzC9oeFmY+PNkyfbTp1qO3267exZ4fuFC22XLgnffROekkaRI1BEW1vFhMfgwOzABDETntak62XFhD98WEx4DlFTc66qCiJfKC+/WFZ2obQUQ1uE0V1cjOndVFJycteuk6Wl2Pg8Bk6VlZ3Rt6JkHMvu3c0VFc1VVUD88sGDl48evXz8+JXa2mt1da319TexmerrQ9nQAGofTy9MdfEhTJz4SnLoC/eJO5S9YPWcyIODuC/WU1YoQJQnShgFDq5RLjM60+MO0ncpnRgURlKf2u3KDsc1AYVcJVLTZGdPmPDK9OnZJvmKsEjMdI47UdCN+IGpbvKxLpVT3aMprMNr6hu75zbPFeW+eR7VyRjo0NzVTKucMvu270Eiq1YVqYFuUCNYx7IoKhJTvaJChrscOnTr+HFxuWAyY5sjgI4FjR1tKMesRo7prs7kGRzcHdZ5SNACOHVK3OjWNbp37231oaeJvPkemIDpPtbTge6YfgVqOMeL86TzhOOaFNxId8qebPtY15KTcQyVvMhGeaB4xFjfCMRBOfuaea7NPitOKZpr+UmjuRoBKZrH5rkUGwd0zZXRPAV0z/MgU3smga40F6BnZDq/vtQPc9GwXlIib0tUVgJEMWz37r2OeW4eCVRdbZYHpu7N48dv1tbehJLw/cSJm01Nwncz4eH7xYu3nAkP382Ep+BpCRQXDSZ83MuKCX8NE956WUm/rg4KNx89euXwYZ4u4usnJ6imprmm5nJNzcWamvN7957bu/fs/v3Y+DwGzu/ff4mtlZXX9uxpqam5fuBAy+HDLcePt9TXt5w82XL6NE2EVjJGbaJmUdqRawfbMpXu+HF5OUPs9JEjF9nQF8xb7is3kptnTOdWUSyyF6yeE3nwaW6yjFFqySqcTXemrwic6XEH6VpKpz2rfF7nKTsilwUswlDSdynrMJi0b93FWAeL2bAuQHdYd6a6rwTWrdeLprRUTu4Uh6PWsbvR3Cqh1sM0oCvN04DuWs1JoFsVJU3NvNRMcsgFN1Od60D1o+LZ+0c0FWn/EpniuG9f69GjbeCVcgZqEUAHu3AciINgM65tuRNMd4G9SIRHBaWcAo2pQlP04EFpe+7ZY0rRnKDLaUzPYaoTH6x7TA8cL2d1CCNGur1nVGBPuq+cKWfGuu3iMb3KFRvDOvedymLWutkEFFojO/sGzhYHdAoPJcc17KzMxAWmS+a5AV1pLr2CzjxXmgvQlenRjIMG8c2bTadtQbF+3rC+c6fMxlNScrG8/FJZmThkysquV1TcMHGC1dWtNTU39u27ceDAjYMHb6gr48axY8L3ujqsYOG7mfDwPaMJD9/NhIfvhJs3+TfqZcWE5xDnzl0/c6b11KkbJNXQ0FZXh6GDeIrcqK29XlvbUlt7tba2GfTX11/WjqUrdXXXjh2TMQWHDl0/dKiV5fr6G01NN8+evXnxYltzcxvHtSapuRmtcvlqapKeg8OHxcUkQzismxTz1gbncQuV6UalO+xSN5EHh3InVlJ6KE8wjgJHEYyd6Wlzppsz3e8gpfCxxpG6Q7KDUpQp5TwCSZY1I0Y8Pyn61p08FBct2kHpjy9g5Jim7hEzSXOTbopM9UAx1qNeL62faXPCWOUkhfzM86haxkAXf4sH9Oh9P46FSJNDc/3JBtmOjSwZM+uwvmXLaaLt3Hm+rOxSdXUzhsnx49cpzefO3XJAh+CYOb4AujHdKkb+gV1ILZO/5XZlpQP6bc88j+Cuysp0h3V2MVPdMd1zvMirRs5IpzBwNbgs7OKX1cIqZ+IZsG7xHdPTrYGUE0YNdrAe2QSUHCBO3Wf3wDyPC08azbXApGiu5rl4zzFfDOiaGQp2RHPPPA9p7pvn6UAXmivQm0ybNgHxQBHft2w5a1jfseOC3aaiInSpuBiz/WppaQtkR5ydLrTSrNSRWsL3vXtv7N8vfD906IYz4eG7mfAnT0YmPHz3TXj4biZ80MvKIYA+ZR74glrMamyOkydFGDracr2lFveN8+fFR3/hQsv5861nztw8dYpj3WhslD7eEydunD59k8fJ5ctCc9Kn2JuoNVgzpE8VMFHFsGxIv7ZWmL5370359ubYsUuAoD/0hfvnkJSzVPWcyIYPdMQaCi6ZpKhR8iiLIJXWRjBnujnTrYMUM4RTYy/WOEx3VHZcijUlnkeIzQ6Gzc41jIfBBJN8BaMb02juxKaY6QJ3t5412msaTR6gVTRqTQeVkxT4VRnNM5jniL2S/hYf6NqIjswu0iRADXLCNX/nHamZXASrkNRDKhsRtm49XVx8trz8QnX15YMHr9Bs1HIpFQD7wthtovSbrIzmw3QiU6wpypRgG+JCVaGxaTTfv/92VVWK5irfPM/I9AxYD5huA9U9x8tFdbykGelWCIOCWnDlPESIdYtsTNcCkxHrKYOdgkEJoahQbOA4u8N3lrX8pNHcAZ0C4xpzrpxwOKO55kTKre9s8czzpLMlh3ke0Vx1iisP1k0B0x3Wte9URiVxp5zxXlJyRd7EEX+avJKze7dMxexAXy4TebZWVrZiwsN3M+Hhu5rwN82EV0d25KIxE971spoJ73pZOQrFFfIa1jFrbESW+SGtY4liTKVQQ8fcOLLvlStCcBI8fz4yz3lssMnVFyerR9QdKgWJcBQSx7g5duzWwYNtMvxs2LAF2k36ajD0xTHdCOgVozsmsmE0t7pECaY8UUwpcxRB50yfNi10pj/55Ky4g3Qz5dKScozuqCwblGOSovRz3VhDGDduCU0BHipcQywdqgTVgAqgRT/lmyam43WgbJsU61RUH+tUUWd2pZykpKC1MTTP45oZmVpWOR3QrYomga4VVeoqyZrZFZjqVEg2WfWjjhUVnS0tvVBVdfnAgStHj7bU1bVCdgoohbWlpc0sGsoi5dKFJNMd94lJkaX0Y4lQN8yZiNVD8dXBLRHNffPcAT1Bc1MupiN2BOse083xInO8mOMFdnCyZqRzKbg17OLKZzcpj0OEWOeWxVjPbK1z97XkQGp5zGv5ieDO7vyy7OwAn+b27E/SHJETjq4l1qd5ZvM8b5qfimmekekh1s05owsi+M6TGIMdsnNe/HI3S0qQUN74HiM+4jsmPHw3Ex6++yY8fDcTPu5lxbhOM+E5xJUr8v4EpdeA62xq47s1W1nJVr8WWFBSi+GP+W/mueHbiV3cssUnKZKlwdrQIO5HfSejbRBmpnWT6vvuNpOXDH3hFpJFF9LL0B0TOXFM518KFgUUcyO3M73rHaSBNBsHITXFnTTt7WqCvsDlhsHkHt2YQraTtz7yuauxI76aGOu+nzQaqWZ+GK2ZUi1JxGjumedpplbC32K1NAPQrbrqlZc8E7Supkx11lAtraVsWN+x4+zu3Rf27LmscyVeO3wYsl9vamo9e5bGplgf2DWu6UrBpfhSLhE1wbUoKfrUATPJsUFotNo7ohjmNqMLNK+uFpoHQLdMJlDuKyvW2dH86cZ0z0iPHC+ekV7XY0a6KY8DRVi3O2UrFbVyE81gN6zrGCohO3ffI7uVn4jspODTXAtMiubt9YVSQtLM8/b6QoXmVoTSgZ4B5U4e000psvsyvvMw5oy4g+qckW+O65y00XcNtWdVEO/x3Ux4eX/HXDQZTfhkLytHOXfuBnCnAFsbFPl8N/M8z+apHywpk1tDOo7p9Tr/AfVC3uWGd6NGSTepjsl7d5433VoMo17RTepEZqw6UZjIHgUOcgFQ35k+fnyaM926MbHiMUDYhTWOzp0WiYBayjdFH6uchyJrnnpqtl7J1DAYKgm1wiqDw7rtm1HxphTQnVivZM/oh4n8pFRFrgaJGM2tZsZAF/M8C9CpqOYYzQj0VI0lZYIz1VlWa0tqJrWR6kcF27btbEnJhdLSSxUVzdXVQvajR8XJjtne2HjDOSitD0p9i7fQ2bNILHEKqOvWxySnsB4/Llb5wYNWZCOUezSXl0UtYwmCJ5WZ6eyr7hef6VHvqDle1Ej3XxztlvGLOZTH4ZJYF/M5xnqawY7SyR7B3UoLIgUDOluJ056zxVxzlNJ8nC35uM4z0JzrT646HXgkY7ZzH7dvR/BdEA/fzYqPTfiI7z7inYvGTHjXy2omPHw3Ex6+c5STJ6+fOnWDsu1MctdvZBROmuedCO45wUMC08eYTh3RqetuiV/CukntzAmum5R7yV3kFrLSKzp3XpZPShXlDFRhWcTO9HfTnelzzZleqA7SQKRDaYaqoJMMcFDW8CCxRk/6MJiMk3ylUO4r3pSGdZ2oMpvBbvVTKmdcLeVF/9g8d9aW+Vsim0uB7vwteQHdVVoSp8byG7ejxeCyOqlYj4yjnTsv7Np1qby8uarqSk3NVX1pouXQodajR2+YjWM9UfX1bXV1MjygtlYEwdGxY5FJfuCADE90VnmMcuE4MlKTE4/auZX2Wqkxnd3N9+KY7o14ESOd+o/Fx9kBI05ZjfTu7RpNKr/DBUw3Uz2FdTPYA7LDazMLYrhHIhHfPNcS4mieMs+trHo0D50t2WjuPC0+zQO/OXnwQ2yVd1jR/hrUJ2N8N8RLt6ryPYMJr3PYZjDhXS+rmfDwnZSPHLmuAxCvq2cGSyVyoPt8N/9JFwPPBoBOmqRsTFffi7xdVVUV2TcSMG/Tu0mLuaPcTu4ld5EIcbm58yIzFCaKJgUObPEEUmf6uqQz/dFHpxGZhkihOkgD2WWhVmCPc93sE6Y8Qqx/Yq5Oi2ZYp8LYxVSsS30gpkE8kLc+hXWYvnLlYY/sXIeorirZpYpazVSDS2wu0uE3HeiReW4V1epqXF0d0H0TzAFdMmP19p13pN6SuAWrroEHBgJaJ5XVFpuwf/fuK2VlMkFHZWULNcEsHRqz+/fLyyD798uMemjvXnvdOWmSRxx3KEeWB/dvHgqZzu7me0lnespIp55T+QFN7HXprpeM2lV+B03DumO6URhxc+NGnpBdS44UHi0PUjB8kYgVEise+TlbUjSPH/kZXedG8wDlEc05rgWfy4VSlHQczO2ew4QvLs5gwnt8j0x4ktq7t+XgwauHD9MwbVXP+y0b7kLr0/h++XIK7hjaZrZ3AvHswu6kc+WK+F5Iv7FR3pg9cEDfOfrLX6Y+/fTc2KUuToP5+h0fcxpwX7mjVHVy7JWbOy/yQzkDUupM9z9AGjrTn3xyJogvVAdpUqRGKYeVNBd4InJc1gB3fUYmh8H4WJeKF+M7Td76COvG9HSsU6nkUmhFlVpqNZNbpmSPukMU6Bn8LelAh+Z5Al2qLsla1TX3iwVqLJYX9VNNdbDumrpRDfGat1QMDB9qhX1Y7kZ5ORJPSEUFEuz6BDcFaLaDpq/MUymmk0LsfonGvSjTU0Y6eSb/nA6nBpi43VwBu0F2iXpY+R03o6nOPZXbqsuRza7FRkqOIt7xPU2kE5cNeypImhQMv1TENE86WzpGc45lwfG3BxQdUoNnwp+Pi66V3qgAWxmOTfiUi4Z9QXx5+VWapHv3Xtm/H7jLhzhoa9bWimPkxIkI7ufPR5Y7OIbv19LfqTYXTT6ByJjqJEKCPDlsSox9+25VVrYNevjhSU899ezIkYu0f29F/OZRb3e/ILIErTI60zHMhw6N5kzHWmdNATtIA5EaxZrqATe5aDNnRt/3Gjs2HAYD1u16wlDiU0OoG8TU6hHKWy9M99u2LDiyv/UW2KUOO1cM9TBFdrJEOkmgG82psR0BepQBEqT2prespeqynmCmOvXTPDA+1nfswPChVlAlfKxHXwelPWvGssFd+Z6Cr0OwC4b+BK/zUSo1B3RlumTDvkZN9qi0VF0qM5WcM1KvS08MSM+tvA+dxnSjeSAFtEj5HiEeKeXTRFIEKxhxqXDP+HadLUmaO09LaJgHtO15WTZciAuwb8Jn7mUlshorV0pLL1dUNFdWypxi6naX7ykeltnbBbuNjcLf0zphBizGxIbvGO+g2bpPDe7OhM9BeVYSn33VSBdHpc1xVFl5a9CDD457/PEZWUap9173i4ksYR1jCOdwpgP3rr9BmlukSRGHjBjFXDeywRqCPSafffbdBQs2BsNgFOsC0LyxHiFV689RFpzNjhTrZrBD9shbqsY4Legy0omBHvpb8gS6OzrmGKnF5liqcR3bYvL1Xgt5Yn1X/C1/hbvju0DWKUpRnSSKeyFyV5iOSE3TSTFdHyrG9JTjhZxT1dXr0nMD0nMr7wyksG7Seyr2tS0gb2vE94yyOKQW0zxVGtNHtvjOFspDVCRy0Jw0Lfhg7T2KMqchhwnPVjPhYT0lvLj40q5dzaWlV8vLr+l3BVr37r1x4MDNQ4cw29tqa285sx24n9Xp7YC7I7tZ7vA6QLyTsZ5NZqQ3NcnTwmbFiJh+//2j1f3iRjSG7he4AALsce0Vgt4ickWrQp3pq9SZvjxwprPcHR2kgUiW4g4loTb45unIGhpA8TAYf5Ivd0nbGQbjrfeZfuTdd6UWKdxTZCea1VIqoVpbaf1gJJUEutLcgC6Wmqu9WuHdcdMqMOkE7evAHIvr7Sli+iGBdWwcDGGZ8rCkBLKn4I6ifeIQMzey37vOdNK0RNKZLlj3mN4cd43aWJc75kZPKs9suGgxxO2eygAV7qwtszLemk1RSUAkSPBpnqkwpDlbEkPO02geMLQ3yzLsgt/Lyr+UbZMjPnwvLrYPywncKytlIpf9+1sPHmw9ckTGCNTVtTU0yGc6gLuR3XWoAmtknhkf8Sb+ZRPPAOKzr4142b8/Yrr0kd5336j23C8RgMi6Ky69SmQMMzzpTOdZxaZRoxbxoAKpBe8gDUTKVACuFQei6UBOWPP003PdMJgFCzYvWpSa5Gu59wlTYlodCxSvN7CaS11Mda1FHJQalYHsal4JprXtHMGdpDygRzTPE+iuXzTRxPbrsAO6jUWjJkQDhCn97Jt/MLLHzhAH3MIwnfQd0DMxXb4UQyMa+8t1jcZeF7kddpXurPLPBjG9G2rDDaOyxG/8b0rxTXeyJpqVAUN5qntci0HGktCvaJ5RdhYuUMKRFXVlfUT27dvFUWPzvJeVXdmz52p19bW9e1v277+u4yDtPVXg3qaTzMiIXkjtfDLIed5N/MtWHgBn9P07e9XIhvna8DBh+r33jnjwwfF91/1iImOxM32Z70zXDlJ5gxTIdkcHaSC7PlwuHd24mRYDa7iw9q07fxjM0syTfEV1z5ettwrmsA5Y16yhLtHapVKlkZ1qSR3WjrLIG2NOUjhOUoTA35IH0OWI7OgD3dllPtDjCiy1V4t+BHQr5VbEfQ+MOWHMD5O01rMw3XDcGabb6bNXkunaSRsxnWyo18XmX7TPjd6BwYu5lX9miMltdfdUAS23VUtLBmkBkzvupPa4U6oMyNXU4IqBlYT0wtDfaJ6UnRfBCnzSS2PFXkd/yVS63uiv6/v2tR440Hr48I1jx27U1sqcXydO3ALWzjNjnncz4fkNXsE7Fn99N43phAceGPvoo+Z+ecmMynT3i9BHTfVe6n4xkbekM107SAv5Bmm7In0QSePmxReL5s3bQGZYQxvIHpbz5qV9687DulCVmFr3Qul6B1nBOrULmtuXrhTuEdmpgVRLohnZqcx2cXy4k5oDejzETeLkDXSpz3FD27fLkkZ69H62Fm5rnBrQA6Zn9MAY0AvGdE5BFxzQkSWIHNN5kLQUFzdv325vGNlYl8J/xqggyj9LxDSs6201rMttxQ5IVwRuc+55koKt991uvd19VwAaSD8IfyU0D2SnSYibp0myS+FX53uzc8vs2SNw37v3ur6kevPIkbZjx27B67o68avA7hMnBOKgHLHsv1BtysD0++8fnXS/KH36jPsFyZkMkg9f+M50DHZAzyPqhReKzP9gBbRbxVHAJe0brh6Htk+YkrEpMvnlKn1YdniSL12fwjo1kMpG7dLvFlK1hOxUOVZSJ828Ihrx2dfBXfEtcCc1gv1rVy8T0KOab250q9sO6K6t7YBuo9NioCNnpLsynfKn52S6b6QXhunkP16WvbIwvRWmU9PUjZ42eJHd7Sr1KuWfK2K6++tuLnfWZzc2QUxtkYLbsVvwvX4997pBOW5Wubv1kVXuGeYyrZsffPD9NSg+67R2qpk1fjtVh81EgwVKS6/re6ryDci9e9tgNKQ+dEiQDb6xx43yRnPW+zKm23eOqqp0hox77hn+0EPjn3gil/slRk/vdb8g8mbO9KeeipzpI0a4N0iL7ZnkyNt94ijUGTBNE4cLyMVkDSHLt+46NLoxAi6mOhWSukd9s8rmkx1pRU0z20lByZ6y3EnQltsFetAVZka6NbfTG9qRXZYw0lN2iivQMdDTHC9Jpjugd47pZJ6QvtLta8PhkUyuDdN3776GGYV5xelwgpwv15nd7Sr1QuWfN2Jyl60gcYsd0zlHw/fate4Dx3ZzI4gruOXNg82bTyHuMnfcodxBXO+7e5xbARBxXJb59YNjX/+WnazrUvKMG4d1I3sK62UyyQylsa2y8hZ0xu5GGODw+sCBiPIsBDKgEy1i+h/+MJgD/+lP4zBsY/eLfMpO3S+Gnsj9Yl4CIgfFpVeJ7Dln+mOPTR816sVp8g3STdDTHkg+fLtPHIiaw1NkyRL5hOnUqdEnTHUYjP+tu3CSL0Ot1b2kdJNglzqJqa5fp42+OoSM7AZ3x3cz243s7BjDXfhuz4+cQM/qRs/pdUFp5TiwUHIY6YVlOpm3hfS3lty+jumCdfW6iBt906YmrqECvRf1i2ZT/tmze80ZufKj5rkwXQnuIN6gH7E6sXEjt/WkffXYPpW5Ywe38hyQ2rpV+M7t9hAWQVzve2ScckRdOMuCPeOJECDeS6F/Ss9RLovViLg6UBfce0wR1nfr6xoO63v2iCor5cvR1dXyBb69e2/BbiN4IAN65Hsxpt9/v4x+GTx4dsL9Il6CvuJ+MZFDc6Y/+eQsmh3WQbpsWalt8smbW0T2Q7C1XbEL9YcH4ZIlMiOShSFDomEwPDIN694wmAjrlk+FbAbpJiGv2Vn6xXEx1bUSihzfEXXVJzsC1tRn5bsZ79EAtfyBnsnrkqeRXnCmO0yHspNiwb2G6mHdMR3d3LNHVF5+vaSkGWZRCTmvvgJ01KEcEhmsG9M5QXWdC9YpJ678KMflu/VbtqDTaNu2s0VF8pH+Xbu4ZZdLSi7s2nWuuPhcUdFZNinBI4jb2L74jl/gcCzza1tVRnZTyHeCT8N+Izu1+IHnsG7D250fJsS6SgwOymdlpXyBr7q6DbIbwU02hYZJgS6zaERMv/vu4Q89NMHcL+PG5XC/CHSIH5SV3ia9hgB0zvjxL/Nw4hR4JlkV9bGbQ5YCpxxLhngTgmi5RXyqELvbvs888xa/w4YtsGEw9lWpxDCYXFhX+zrCOuSlTmKq02pWO8s+509txF4W88qqqCM7+QHQDu5I+R4hXvKnQ4/bA7o1zJNel5SR7squb6S7DiIH9J07U44Xz5luTI+Anm0gYw6m24kEKPdFqxbbx1RVRVWh2ogbvajoIjnfIANdajl9e9r5harXKv98EtM31bWzXax1zALsACs8oHzrVjh+Bl5v336W59zOnReheVnZNS6U9uldqaq6tGfPxfLyi6WlF3fvvlhScrG4+OLOnRdAv3JKUMWxWHZk9+T43g7ifSz2A+kZ+ViXJ182rMeS9+DUbL+hZI+w7nPcBM0N6BHTc7tf9AXIvuR+QVIiYnpyFi++2OEOUiI7oHPiTh1KBEk+NHDpaPHQAGJZh8H437qzp2bqClvXJTGTQHdYd6a6az5TLbWZfBqpkUXTWPgOpyA7LDayK6aBu721BOJTlJeM6lS6/JoRR3zS94EeeF28rlFriVupTSu42Y30iOnZjPQOMd0yr+COCrebAgxpoZeXp2NRN0R79nC4K2ALhOnrRXWcfh8Cuin/3BIzgXVae7WUEIoKZQaOm5tFP/92oaTksg7PaNHuO5r/N3Vs9bWDB6/s2ydzm1RXg3gkn7rfs6e5vLy5tLSZRg8H2rVLvkQB7g3uTlYwTHnyneDzsY9KzyID1mP3eoR1rQ6RiROTXcx2w7q5YkyGclfIQ6bfd9+oRx6ZHLtfXs7ofjFDkshBQemFIpMjRy6cMuV1uNnRDlJixkBP0dyUfyIm4lsAwezOxeR5yb9jxrykw2DymuTLp7lJkzSsR9a6YR3DnFazWVj8Ym3Bd3V9+mSvM7tbYW35dJQX0Fvi2YGe2+vSjpGezvR2HC95Mt0yHJvhqSJuotBjyGDUaHPVnJKivXsx1Wnnkg1yCEROcgE56z4HdNShDBM5HetHuMtmE1B+KDNY3IC4uPiSDqbGMG+lNcPzb//+W4cPyxeT6+pu1NVdP378+rFj148e5bfl2LFr6PBhWH9t374WDlFTcxXcs1BZ2VxRcbms7PLu3fLePFY85cHxffv2CO4qx/d+i3jNeYj1uIJEWPfILjXC6oJi3Vwx1oMq0kZnyoiJmE6I3S/D/vzniU88MTO3+8WcA8QPCkovFJl0HaQrVnSgg5SYGYFuyj8dRGQIyO+aNfWwGGOcZ8zo0S+yJhgGk+Nbdz7NfbHJYR0YedbWaUwt7CysrR07KDoUIMqTkJ1KS9WFywpo4bsKahvlBfQka78WdKsB3fe6CNMDr0tcWJPlNSqy6UBvn+kx0LMy3XLoOVUiy8VkKDea79POJXTggExJun8/9k4LRmVJCYYS2T65fn09j0YYR4JBQeoT6lC29bKJuWBY146ZyINH2w6DAPjSfIlnLLkB0LmAhw7JoLqGhttNTbfPnJEvc54+fROdOXNDv5TfevJka2Nja0ODTDxbWwvuZcLCQ4euHjhwFaO+pkZsecf3kpJLNI/UhE8h3oqNyeO7j3ixGwLE+9Ds/dIMp5k+AdatghjWzRvpYx0Z1pXmTh7TMck5Rux+GRu7X17M7n4R3BA5KCW9U+RTO0jLbDkAbjYRE7D6HPeVfzqIyATAxy/k5XH40ks7aQDZ+vHjl+UzDCZAuS+2arUMHaNbt54B6OrlvKheTiM7JYlSBYJhMRQTuJsM2YgEY9BHkox67wrmZ6Qb062iZmW6AT3hTE8y3XWQRky3LBHSaS5Adx5Gh3Kj+YF4KJiOBrtZXd1SUdG8e/eFoiKaMpyLAb3vWehOncg5uxjW49cdpL+d8rNlyykrPGVlV/XLnDdp1nD1jh6Vt2BsZsGzZ+XNRp2TxD5A2Hb1altzs30oWWalP3v2Br8nTlxvaGipq2s5flw+d3X48NWDB6/u3w/fxV2jvprLpaWXd+2KTPiue2kCgPZOaT5DrGdxwkT1QqtDCuvYNJR8a6cGWLfrEDH93ntH/uUvU8z9MmFCyv2izoEIN33FpW4inzQyADFll+UAuNlEzCxMl6kN808HEZkA++AgC1CYFLieNmh9yJA5EyZE86alD4NJYd3Owud4ILY6rFsjGmOcagnEzR+KqJ9KdopOCHfQTN6U1NKegNoJCfTZZCEd6Ekj3QHdrA9XUq2wGtNzGekZO0gd0y0PfvMTqW8xm1WeencDHTkiQK+pEaDv2kUj5vSWLZx7HYaqpewXnj6nTuSfXaga5oGxvhmwTvmxwYuG9erqG1xGe/nl+PFb9fW3GhtvnTolXxy8dOkWWG/Vz7PZxLAE0rxxg/Xy6L1w4ca5c86Kv97YeL2+vqW2Vnw1R45cw4Tfv/+qOeV9F40z4bMj3vEdpSGeg/rBJ2mvkuYtqjJ6RpxgVFOCcetWNZxjPcZ6yv2YmekW7rprqI5+SbpfZHiGe++xD7lfEPnkOcRvQNsckmsRT2QYy2YeF+WfFDHN8jVusgB5aegsW1Y6b96GadNkSt5hwxbQJMpnGEyAcl9s1ZEwUSPaPDBbt4oHxgYt7N4NwoC7VJWMcFdAn7Ss5hZxLMRAP6VllHQCpls9tJopQA+M9Pyd6dHxNMQjdoXjOgDglnrJUxyHPj7B7R28+Ht4tw4caK2uvoZtWFIC0Mk5T6zad9+VPmG/zPRddeJE2CV2wkStPcyCeADMmeLiC2Vl2NStaqqLP/3o0Vu1tW2NjTLnlGHdTSJoMwiSIHznN/4KftuVK9jvN7Hfz5+/gf1++nRrU9N1Z8I7vscumtCE37nzUsz3FOI9vqOMiO/tJjxZcrWGs4jrS5qpngXrkaluTA+wPmjsQ9+3EzZT/YEHxjz22HRzv0ya5LtfzIQU1vQtpiM9v64wPaI5zZSOpmMWLijECja+r1ixlzRf1I8i8S9hxIiFkyb5w2B2ZBsGE6DcF1upmStXHtbRjdKCjrF+Vr8Lerm8/Cqifjq+q2fG+C69qaRgfM+iqCBilZsk63GILQ5ndCDH9MhID5huQM/G9ChdDXtkCLmg3HX6++9fmJwx7iDuz5iBjh27efBgC/ZgefnF4uJz27fzNOKOHF+1qle/KdpRde5c9DJHZoF1mWIWuCJEISktBbIt6oRpO3iw7ciRNsN6U9Mt+3aPzSZ4Wb/NRlLAnV/feG9ru4XxHrtobl66dDMw4RsarquLpkVdNNfURZNmwgcumuwmfEYvTW/ku2YjxXSrMpxXMLrR6kgmx3rKVI+xrkyfNeRndpKx+2WEG/2Sw/3Sh1zqJnIbADe3iO8DnbM2dSgdIptDA6avWydMt5VcQJDNwrPPrrave48enc8wmPaxTsDactZ67IQ5s3Pnef3cMxZQS2XltT174PuVsrJm6glN3V27bF5/Gb62Ywe8k8qQt6Ty2KGD4BnpURlVpRnpKIqdHioqbuh7FjLcwrR3r3yq1Ias7N+PUn4VZ48bxyF4Y2M081FTE8ttx4+3woiaGh5s50tKzmzbdnLjxoY1a46vXNlXe0RzqNNnxI5msIN1863bYBh1r5/DCCgru1pZeQOyHzhw8/BhmWqqvv4W19nmETx7VshOIjZJLAvOcrdvOzjEoxwmvHa0hi4aZ8Ir35vVRWPtzsiEz474JN8F8WTPDwFte0wcOrep7mE9ZfRkNNUd1gfNH/FzOysLd931dCb3S+QW8NwvUKaPmeo+bfORXg/InqI5IYiTW7bLxo1NGzacgOlr1tTRsGWNtXKWLt0NvmfOXMXjk3/znw0mQHkgIrz9ts0ccHzduqjL1LAOvisqMHxa9u5tram5zoLxnZXsRT0xUyg24c1Lk0FWbXQ5qk5K7UAyNjmfoF/plQmM9uy5gaqqbBojMQn375fxczZSBdH2R0A8aZL7M9iBmNOnZYJpdOLEDUy/Q4eaa2ouVlScLSk5tX1748aNdWvWHO27Q1zaVafPS2+IGOzOvW7jYTDYtQhd3L37SkWFjISxr7KpH0aeo1x5sH7unKAcsx2xYPOAB9/eDBBPAPGY8Nev37p2LUK8b8KriyY04fft4wmNgXIlHhGfNOF9xDu+9zoTXg/nnJaSQ61Zaaa6GkA5TPUE0/1gpvr997fvfukrL5T6IrcBc9uVXJQ4BJvyke0I09evh+kYhjITt6HktdeqeFpA7QULNll/KSExDGZnR4fBqIT7hJUyz5e8ZaoD1E5u3366uPjc7t2grbm6+lr8zf7Wffvku0LwvarqWox4cdGUlpqXprmkhLIVqVi+oe4+wyhfYnSyT+762r0byYSiqmtlZailvFxUUdGyZ8/1ykr5sld1NaafWH/K8Zv792MGth06BLvFe2s6cgQJxJHzq/j2OEAxjtuU0xiMZ860gYPjx68eOnSppuZ8RcXpkhIuQv3GjXAqersqKCH9Rl08Nbs4/tsPlCLtOD1NS45Hvr5WerWq6vq+fTe4TTxZbTwM158duRH2698O952HjIhP99IY4tO8NLEXXhBfX39dTfiWTL2sHTDhewnf9ShZTXXDerpXPWJ6FlNdmb586u/kT8z0e+4Z8fDDvvvlDed+8YzHvud+QWQ4wG73iWOZA90xffXq1DctCWCaK0nTZ/78DTw4WcM1zzgbjI91O4sEx00yLZcT0Xh+cETa0evX12/efGL79lNgvbT0ItZNTQ1Yl0+bI2IePAhJMb5uqAkPZ6GtUf6qGfLqqxE0q1pMmNjpoqi1qtEt2rMHcNMUEHZXVraCbyW4pI/27pXDKcFvHjwoXtpDhyQz4Bvrj3a9KureROYczwhx5881apw/34Z9V19Ps715//6LlZVnS0tPFRU1btlSt27d0VWr+q157ivbObI+GYI4pmibBmv22eh1DPYdO87pkKpLZWXN2AH79tESun7sGNdcOkK4Qfz67i9uluN7cLMc4jN6aQjOSwPifS+NP5Am8MIHJrwaJSm++4h3fL+DLhpNth1TPYv7JbOpLhl9/Znfy584/PGPTz/44Hhzv4zVj9977peUnxfE9C33i4kMB/DtJnEgr4P0xNq1wnSatKyxgZUY3epYL8Menzt3PRY6K4cOnZ9lNpjoJV73UaQcNHciGgFrC6xv2FC/ZcuJHTvAOoy7sGfP5ZoaKoAY6Zi9tbXyfuCxY21Hj948cuTG4cOolYp68GDLgQMt+/dLvd27V2buV+KLh6Sy0mYXinovrQOzqupmdfVNjG5Mb6ht4DbrO8a36NAhccgeOcLhUgQnA2QDdhu+TdbD6TiehLhv912+3Hb2LKbctePHm808Ly8X83zbNjHPV6+W7lCCXx76n+wcs4UNG45u3nxs69a0Nmg7YZn82Kgq8+Zt2iQzC1kPfEnJhbKyS5WVl/fulfkAAOuRI1KoKEv2PWW7g4Z447tvwme7lTkc8dfz89IcOnRNvfCCeN+EVxdNRhPe8b2nTXhSa8+rHjI9HhUWmuoR0/0Qu19Gu5ePJk16Nd39kkJMn3O/mMhzwN/uEEdxHaQ26IWVxnQDMQtgHQN82bLSF17YMWfOWh6frBwxYqF1Y9gwmLi/NMcwmBDlgYip42GOrl9fu2lTw7ZtJ4uKTu/ada68HBtW6iHsPn78RmPjLbh54sStEyfaGhtvNjTcrK+/UVfXWltLU7f1+PHWY8duKPEFx7S4Dx68dSCeu9mNP4m7Ls3xnfKfmPVt+DZ2G74duKnzVu1N5MRMPOccN5RT+THuXM131f7qVao3FftaQ0Pz0aMX9+8/X1l5prS0CfN882Yxz/tTdygnkiNA7U2bjm3ZIiWwqCh6ZSxXIL3cIozWX50LKJ6IIpoNNHbrnS0rk67yqqqL1dUygdfevVgMLQcPXsc4oNjU1ra5G233125uEvFJE77TXhoQn9FLYya8umgu9wa+awoppntj1c39Eo0pSLrU4/c20kx1y1IqZHS/YELOmvWuul9c3514A/qi+8VEtn3+doc4hI3m9ga9RN+ej1ksWOe5yJVculSmWX/22dXjx4tRFM8GsyoYBpMJ6yHBM4qYhFWrMNiPbdhQt3lz4/btTTt3SrmsqLhYU3OZRitFv6EBLLZRr86dk8/dnjnTdubMzdOnaefebGqSz+BCfOokNZP6CZGPy6DvlJyfxElbACm7O2C3D26r2yZquFVy3yS3Sm6NdOM4VZpw/frNy5evnzt37eTJ5trai4cOndu790xFRVNJSeO2bXV91Dy3DGcLRm1s7e3ba/OiNsHo3DnFwSYgsuBc7daJqp49eQOjpOQUv7t3nysrO0/Rqqy8VF3djKW8b9812nzKd/lqfn39rYDvDu4+3zN6afxneT5emmAsjXlpzIRXvl9Rvku/kbo7IsT3MN/ZUZmeMtXJQ+B+yeZSDwY1WjZSwZiew/3i86WPul8QeQ4QXHDJ1UwMegmYHmO9motpw2BmzVo1atQLrOSyJ4fBmNfLDYOxOhbgO4eITFi16sjatcch+5Yt0owoKTldXn6uuvrCgQOXjh69Ul9/rakJRGL1yLskzc23Ll++RaWialHBqGbUN2od1Y9KSG306ezL1rsaG1Dbr71Wga0OWzW2muw4bjXZLDWH8hs32q5duwHNz58nw811dRePHDm3b9+Zysqm3bsbId3mzcfWreu9faGWsWzBp3a0qt3gENwd0qAfyRK5skSwIe3qlpEyv3mz9CFt23Zixw4aSaeKi8/s2nW2tPR8efmFPXsuVVVdVr5fPXAAw/n60aO0/27W1bXB92RRCeCeje95e2lu+l4a62g9epTHDHy/pny/WlmZ4vvOnWbCC+Id3x3cC853jZzmftFHSxrTc7rUPab/4aefN+3dKz0bMD0P90v0/nrfdb8gsh1QuIAi8aCDFHPGdZD6TDes83TMMQzGLrsOg9ltoxutvxSsE82ndj6yxO3lyU2b6rdvbywpOVlWdqqq6uz+/eePHLlYV9d88uTVs2dbLl5spT5QMagz1BzqD7WI6kSlMsobhQNRCY3Urk46Xjv54CYpq6hWV626oqC6Gspv3mxraYlQfvr0lRMnLivNz+/fLzQvLRWab9lyvDfQ3DKQLTi/dm+hdm5p0PNKYd0vTi5YucJoWL++duNGnqwNW7fSKDwJ4nfuPF1SciYw4fftu6J8bzlyRByAdXU3GxpkzLvx3Ye7z3cH9xx8tzKT0UtjJvyZM9LReuJEq7poeMAk+X7F5g1Wvqe8NDHfOzaEhhBw3Jduzep+ac+lnonppFhdncb0PN0vr73WV90viJwHLC6USNk6SDMOegmYjliJ9R0Pg9loX8/g4utsMLmGwXQO64i9CGvWHNm4EbLU7dzZsHv3iYqKpurqMwcOnDty5EJt7eXGxiunT187d87gfpNWrVUV6oxRnorkZCA24qMkqQNZfNuX2mgV0uok4ii+zYVV3tJys7m59cKFa2fORCg/evT8wYNn9+49fUdobkfJEfoYtXOLIFTIjHVfGjUKq1YdBvFr1tBgknYhBgRNw6QJX1FxobLyYnW19LIeOHD10CHpZT12rLW29kZDg7j7OmG8B3z3y5JaBpEJ39wsM46dPy9TS546dSOd7y3K92vKd3lHr7QUY1n4njTh2+V7PiY8KzWmM9V9l3rK/ZLRpZ6Z6RYc0333y7hx5n5ZmXS/QKI+6n5BesbdgnWS9TpIbdBLWgdpINZDZ9o9XFXArcNgZDYYbxhMNOuO9lEL1s2xDtbtRIKqlafYkbB69eH16wHQ8R076ktKGsvKTlZVnd637+yhQ+ePHcNsv3ziRPOpU1ju1y5evA5Yr127CWSpHtQTRIVBjvWG+4DRtuxkK4nvTCpLxBJUw+pWa6t4V65cab10qQWr/MyZq01NzfX1l44dO3/oUITysrITJSUNO3ZEnpZVqwo5saJdnGxhwwYehx2ktvGxL4qQYjqKsJ6R7ERzC37QAZFHYxO+Xk34E2rCw/fTu3adKS09V15+fs8e6WXdu/fy/v1XDh68euRIy7FjcPZGff3NEyfa8jHendFgfLfylixphngWWlvh+y3le1s632WAAEdXvrco32V0r+N7cXEGE749vgviM/JdF0L3S0dc6gmm2yAYY7ph/f77Rz/22PShQ+eNHv3SpEmvYjwm3C/SZQdWiOxqQh8S2TY7NyBy10WaGzZIl1G2QS9JWWYwwINhMLST4mEw/gPVjW6UF3rtXFyl6qjYl7Bq1aG1a49s2nRs27bIbN+z51R1tcH93NGjWO4XGxsvA9azZ69iL1++fP3qVfh+4/r1m/AX24cAjh3rc8tqlAUIrh1cYoxfvXqjufn6xYst585dPX36ysmTzY2Nl7DKQfnhw+f27z9TXX2qvPzkrl0NGObwFHN4zZqoF5Tg3992Fe2TJfCo4BDFxTznuBryhG4/GAH7nwhpTEd5Yd2X7B+HHCb8zp2nSkrg+9ny8nN79lyoqrqofG8+ePDK4cPXjh1rqa1tra+/YbPNdM549+2JAPEst7TcunKl7dIl4/tN5TstBvjeqnyXAb4e368q368o3w3xUNg34TvGd5/pgfsli0vdMT3CujDd0mIVvz7T/0rcL92BdRIkbNx4yga9ZOsgDcRWHpBcUp6XixbJMBguOytHj34xHgZjE+/kGN0YVqT8xe4WMNsB5ZYttZjtxcUNpaUnKiqw3E/t23f64MGzR46cP378Qn39xRMnLp861Qx2Qfy5c9egPAY1oMeyhsstLaabTqDfSQ1w2I0NDr6vnz8PwbHEr9EaUIhfxh7nKEePikkOx2tqTldVNZGN0tJGILttWy3PHmeYE/x76su2Zgs7d9YDa5LF5OdREa3NHYxxf20ihExHHca6k6TlhUwmfOOOHSd37mwqKTm9e/cZ5fv5qqoLNTWX9u+/rHy/evRoy/Hj1+vrWxsbb5482Qbf8zTe80G8yZnwFy60nT0L32krwPcb6XxvUb5fU76DXeF7RhPeId7j+znHd66D/VrI6VKPTHVlethNGu1PYAO/PtPzcb/YJFN92v1ScKaTmusgdYNeVq1qn+mICN4wmK2zZq0C6KwcO3ZxPAxmgz8Mxtxf8TAYOZ2g8nRCJEJ4910x2zduBO7Ht2/Hcq/ftauxrAzjXfC3b98Z5Tv2uyAeEx7KY1ADegz5U6eunDnj66oJ+pu0exN2N9fXX66rA9+Xjh27eOTIhUOHzh84cI6WQU3Nmaqq0xUV4l3huHAcq3nr1trNm4+tX0/9j97FbTcYtffsOVlTc4oMR2tzBweyATkRMjAdZcU6kYM1mZQq9n7wTfjNm+u1l/VEURF8P7V79+mysrMVFeeU7xf37bt04EDz4cNXjh69dvx4S10dfL9x8iTwlQkjMxrvAeIDK945agzxRnnjOwvXr2PC31ITXob5NjU5vrcq36/D95oamUbJ8T2LCW9emjS+c+L82kqAbpeCoHtlc7+ETJcdks50H+ux+2V+e+6XnjPVNacFOxZJQUNzHwVo7rRIKuggzTHoJSnivCbTBtgwmM1uGMy4cUunTXszHgYD1mU2GH2sWn+pYJ1oiWrTSdlBLWC5YxRv3ChvssB3CAsoy8vhe2ThYkdjxWNQw83Dh89hy8P6Y8cCXXBSA/z8vn3namrOVlefqaw8s2fP6fLyU6WlTbt2nSwupgI3bN9OZaZVXrthw7G1a49GWUkEqI3xrtSWZkS0NndwqBpQniJkZjoqDNZ9yZHigAm/Zo0MlNywgcYZz3UKRmNREYWkSfl+pqLibGXl+ZqaC8r3y4cONR89evX48Wt1ddcbGlqV7/D3luN7RsQ7L41vyDvEG+UDxLPGeeHPnYtM+Pr6G8ePtx450prO92vwfdcuM+EN8TA6zYTnTM2QV9vcJA8AaG7XwQ/G9Oif9FBdnT4+Pcn0e+5Jm3o3u/ulJz48rXmU8MbMP0YLiTgdFYmAQtoZ9lgK6Nw5kY51kOY56CVWqqATLX0YzNusGTx4Drcg0zCYCOvEKSzWnUjThTVrDmMpu9HTmM9Qtbi4YdcucTpjVldUnMSWh/Woqiqrysupk4LvHTsat21r3LKlYdMmadxkC9pze+rAgQFq3yFpCKqPp1xYt32TIY4WVISUbBYNP6xefWTdumMbNhyH71u21G/b1lBUdKK4+OSuXRgENOzgu7xssXfvxQMHLsH3I0euHDt2rbZW3qeDuU1NN0+fvuXgXhDEmzDhr171TfibtBgw4Y8elTk29u+/rnxvqaiQGZOM774Jz6mpo0ZYr2vEe6OGubPNU14XuxTOQt+zx2ailklMDx6MmR7Q3MT6dPfL0kzul1KAos3/7nK/aAajAM19yZpE/I6KRMxUNywGgO6ESCToIM0+6CVV+n1ZlmgAYYYDbjcMZtiw5+KPIkXf/nbDYNhK/s23rgcK0yyUSNyF1asPgXhM+PXrj27cGL2Svm1brbE+qaKilLZto1ldu3591PdgAStsx47Ud/JyBceaAfWMNAR1J11pWI92yBQoCZQTmn3R/15IVBARZHeK4mmA7zTgKEIbN9Ya33fsOLFzJ3xvgu/l5TT+zlVVnYfv+/dfOnjw8uHD8P0qfK+vFxP+xAlx0WC/G9ZhusnI7uQQb5R3iDfKO8Qb5Y3vLKgJf8tM+NOnQxN+716ZI6+iosX4zrlo/2ckndZUIK4EJ465zp333FAu4xerquRzAof141PHjsnv8eO3MtPciYPZy0dDh84bM+YlHVeX2f1S8J5SuWkaPvWp/3Xi325lOifCvwGjOypSIFgHaaZBLyk+5hCRyRXPSzcMZurUFawMhsHYpPastwaT3YjuxroTR8kYVq8+DOtzy72yD8QrK2UgV1pwKBlQLxEhq/vFKcK6xLPSwa8pZygqivq9o//TQ4B1p2izBnXBH8WEh++bN0cuGvheUkJz8FRZGXw/C9+di+bwYUz4q2bC19eLCX/qVJvzzxjZfZoHMhPeGfIO8Ub5APFmwl++nGbC19XdOHYME77V5tGrrpbpSysq5FsCCnE3y+mNigrwLQTHHlfJRF01NfJFASBeV3frxIlbJ0/eamqSX5bbZ3oW90uqp05pUjCmy/3R4KPcifXdyfRqmMgjijU+ozsk9vU6SJODXkIs5hDxyRWk5sEJu3UYzCusjIfBrJw3Tyb5Yg1YX7q0VG9EaiRMRw9XQHHofAL2WmVl05Ej55ua5KMcUvMdQQbU20Ron+lI7z4/VgpsIZuyh50767dvF3N+w4YMXSkB3FG0IQ7Gd+eiURf8ieLipl274Huai0ZNeOllVcS31NVdB7hNTcA31b9qfDeUm50eyJjuy/geIN7U0uJM+DZMeHLb0CBWfG2tzIRz+LB82MDmNN279+bevW3xlxrt814yL55Z5Q0NwvFz525duEBq8mFYHkXktn2m//GPTz/0UGb3i/typvlzu+J+kfugIYB4ICL4TEeyJpFaR0UiinWYXsW5vPxyGWsCWOcpdnQdpJkGvYT4yy12IVc8ZpYsccNgXmLlmDGLbV57lm10o3PCGNYL3mWav5yxlkNkzK7S/v2Xm5rUP8g6Y8eAeqcIeTFdoxqy5T57y+3p/9v//+kOWQNGwNatWc35bIhXF82x9evhe8pF41zw5eVnzUWDCb93rw2UBPFXjx7FhHd8j1zw5qLx+e7j28kcMr4M676M72wih4r4W2fPttFWaGy8WVt7E7gfP952/Lj4Uvx5TE+ckPGaZMbyQzbIgKVPavxy9HaYjjjkAw+M8d0vmeZ+6eToF7nkGgJ25xCRu43p4n5Rpot7OoB1nmLHoIM0fdBLSMB2xV7kiizRJOI5ygOVhysrx41bYk522kz6ZertrsvU3Y4exnoA7mwiSzRcglctQoIMqLeJ0M1Md/r/Dvx/vjSVzMHM+c2bj2/ZkuFV3iTfzUVjLnhz0ezY4Vw0p0tLzyjibSB86l0n4zvW9MmTqS5W163q8z0Hvn2ZT8ZErvglmnax3jp/HuPddOt0+mx3HItDsHtb+it7LthonLyY7twvo0aJ+0UtxND9Yk1+Igc3OKPk6moIeJ2P2Ktbmc6JwEQaH6wMeJ2P2Ms6SBODXuTtmACCeYodk8NghgyZy6+ObpR7Yb51N8DRsN5jTpiA2jlEZni80XaxAbk1NW32cZyQIAPqbSJ0gulyw9P/zVsB2X1popmDDsGS8Vf8Rquyh9hFkxolqb2sqYHw8btOF2tqLu3bJ+86HTkiA+EptMZ3v4vVXDS+/W5A9wmObCikiTzYgjGayPoWq0yJ6vt5SIo47QZLIS+mq/vFPjz9fKYPT6fcL3qh0kJ4szUEmO6Q2N1nekGxnnKpg0XgyMoA2e2KXQibNqU6SL1BLyEK8xe7kzEbBjNvXjQMhuAPMF2wYDMtp/h1JJk8wPeJBQkWSgGy2xU5WbWKhrA89opltNalzZtlOSTIgHqbCHkwXWLw46FZRAjW5K8DueDupMfIGg4cOFtdfaq0VEtaluBcNDqdZL0i/oT/Lqsi/rybruDAAXHBG991CE3UxerzHRPe8R0T3vjuCI44bsTjQgQSJP32mY44sLlfnn46s/tFr0kUksB1IaBzp0VSwSGCgtUJkYia6s6lXr506W4eV6wPqJ1DRI47SDMOegmBmL80e9JfqsNgitwwmGHDFowfT8tpxcyZq+bOXafj1rcSwes1TY00JQTJdkUBrPMUeeAhRyOGBZ585lWXYOAYUG+WhqDiBJIYFtlBWe55+r+d0IF84e5LD5w5HDlyXr+dchK7PlrlhXgUjbzo5M0YLO+y6nQ0IF6+61RRcb6y0vguLnjtYpUXWTMOoTEXjeO7mfAcy+x05Ax5X/mY5y7AdOLny/R7783gftHTl/Dy5N++OvV3rz/zB5Z91FoIiNx1kaY7ih0oKFidEIn4LnWMXJgIGTF72eSDO4eI6XWQdmnQS1KkQPaWL5dpA2ge8a8FxfqyuO96LQ/a558H6/L2QOBet9MMku2EAkx3SGSAC2VdDqtXiw/UcpUCx4B6rTS4KpNREsPFd0SW257+b+ekZO8E3J00H5nDsWMXMOcrK09ldNq4uQr8GSUV8TYpvJjw8F2no2k+dEjmoml3CA3JOr4jFgIBfTCdf+gY0++6a2jsfpEOOgvPjfrlC2N/tXjCr5dN+u3yqf/72vTfr5ghWLcQgLiAInGf6QXBOikkXepLluyiFWIA9dmdTURzHaQ66KUhHvTSyQ7SQCTy2mvRMBiWeayOG7eUBdpPzidG+8nrNZXBMAV0rweA7rjkOr/99iFMdVvg113/FAsG1Dulwe5XNkkMfxdkOCbYQtfVZbIH0sxlDgcPnquqOl1aKh+hDMK6dbU6o2TD5s2NinibFP70rl2Y8OKiqa42vqd1sfpDaEjE+WeS6l6mIzsNC5Me/dH0J//z2af/34KRv1g09lcvjf+fpRN/E23TECC4O8RRCst0RCIgz7nUsXCV6cXYvHJWeWCdOFk6SAvDdEQ61m9B3gD3zJnRJF9DhswdO3axzsnz9uzZq3Xo+uZFi+zrSOJeNz9Mp93rCTp3VKmLHITUekPAgHqnxBho36Uum/29TMZigi10XTHWCwt3J81r5nDoELCWz5dH/3thw4Z6RfyJrVtPKuLFhC8rkxmD4bvrYlW+SxcruwT+GSdj+s2bEaxzB1CuU1XLdKeXLl3vANMf/s1XB9/1jVF/+u6ER3449fGfzBrys3nDf67nEoUAu90qDtdNTE+61GH6woVb2RoQPCniELSDVJiun8KoXbmyS4NekiIp0Ez2Fi8usW/djRjxPCsHD549ZsxLEydKb8ezz64293o2P4xkNL8sJejcIWW4yDzhrINhwE7vG4LmJkLnmI6MxQRbKIjSyY4CNBdQmvXM4fDhizU158rKEu9CCwoat2wB8WLC66Tw5yoqoi5W+E4EnQ5eXDSn9Nvu1r+K5d7cLO8lXbkiH1O9erXt2jVRSwuSL/C1tIBv+dIAunKl9fJl+d6AfTfmxInmDjD9wV99+Ynf/8fw+7897uEfaIajENC2Z8RxfaYXBOukELjUMW/Npb5w4TY51ZxYZ6t1kBZ80EtSJAiaYTTNiPnzNwLxoUPns/Kpp57FbJ8w4RUbDKPu9dTo9cBgb9cPkwB0hxReXhNH5Ak3wPQ+IIdyJ0KnmY6k2KZDuSDqQbL70pPJGiorz5WXh98j3bRJTHj9rpNsslE0mPA6EN5MeJlrrKHhZkPDDUDf2CifS0UnT7Y2NbWeOnX9zBn5zMDp01dPnRKdPn3l1Cn7bozNWS2zVefrTyfc/8sv2QIhIOwdEdkoLNMRiaS71M39ErnUsXn5DVDuxKa4g7TAg14yijTJJIwme3Pnrp869Q3sdFY++eTMUaMWjR+/bOrUFTNmrFSDfX36eJiUhz2bwZ4AdIcUXlVfHOuttw5ap7F1M7j1IQIGdEcUcNwXoStMR1Js04lcKCXIjgIKd7sO5gJ9cXGGj65s29YE4nfuTH2aVb00zfv2Xd27V76Givbvv6afaW0+cuTy0aOXjhy5SMuA36NHL6jk+18HD57dt08+HbNnT1MHmE4IqHpnRX66g+mBSx0CYgsvWiQudQxeM9h9lDux3usgLfCgl6RIk6yST3JooxunTHn9ySdnsf6JJ2aMHLlw3Lglkya9igk/a9aqpMHuRjo6DzuBZBOA7pDC65kUR/GYfthe87P1Yf0fUA8rIHhShJxMl21+ghlF8FlcWKUz3SmEb3frYEp6wplDcXEGdw2hqOhMScnZ4uLzxcUXS0ou7dp1sbT0gr79dLai4gzaswd2n66sRKeqqk7B8fLyk7t3nygubtixo74DTA+QesdFlnymFwTrpJDJpV7ywgs7zEg39zQLAdARK10HqT/opYAdpIFIltySzyVLokm+wPpTTz3L+scemz58+HOjR780YcIrarC/4zzs+j0NDPZic8W8Iq8mpYbEJDCdp8IrmU0cAo4PML0Xyad2bhG6znRE8EFccKUD3VcI3+6WB3cnPf/MYdeuMzt3ZgD95s1NW7ee3LbtxLZtjdu3i3bsQA1FRSI4vnWrTJAQfT0mwHdGkWjA014iMlZYpiMSyeFSf/75yNRlORPTZcxT9w16SYqUyS1NCgBNxmbPXgPWhwyZw/qHH5789NPzRo5cNG7c0smTX3vmGTHYZ89eaxMJ2BunSva0wY7sSEggO4fCC5hbJJ7O9OhL/3JUq/AD6jEFyM5HGvwb6ku2+ennEMEhuJuUALqvEL7drQTZfenlyBqKijKMsbEAwdetO7p2rXh3UyHAd0YRLYBpLxEZ6zamR+4Xc6m/+GLkUnc0ZDkAenoH6QntIJVBL6wMQFxYkT4NCx4/S5aUkElzwliX6YMPjn/yyVkY7DoeRjpOzWCfM2fd/PkbzRWjZE9zsudH9vC65SmSffPNA/acW7nyyADT74ACTHdIGvwb6ku2+QfKIYvp+Nt9StA8qZC/3aoE0LNJr1HmcODAhaqqzOMpJQT4ziiiBTDtJSJjPtMLgnVSyOJS346RzlY3OpBln+nWQdoDg16S4hBk2LBO3sD61KkrbIAjwSZ1cAb79OlvzZxpfadCdmt58NDKRnZCQWjuFCXqhdR6fgbUfQoA3QlpcLcykGzzD5dbLrLjbzcpAfEcChHcY0owPSm9ZJnD0aPn9+07U1HRVFLS2LeZjshbdzA93aVeaqPUzaUe9zSKP5p/HdPjDlJh+rp10aAXczIECO4OcRRnrZNVeA3WR416gfWEhx+eNHjwbDPYJ0x4GUPeJ7sbxm5kj70xYQ9qcKE6LZJywxkt5259qsIPqIAKuNxpaXD3MSnZ7B83t/zIjr/dpwS+81FI3h5WAuuB9CImQoDvjCJaQNLeI/JWWKYjEvFc6jJJgO9S95zRYtiyJma66yDt9kEvGcWBCGQ4xroMcLRvaBD+9Kexjz8+A4N9xIiFY8cunjhR+k49sst4R8hu3hh7YunYGGe2pybdDC5XR0UKb7110HpH9bEhDQJbn6rkAyqIAih3QulhxYp9yL+bviSGf/R2FcR3/O0+pSO7QwqBe6eUILsvuaQBvpPSC99nmF4QrJNCNpc6QGerc7/AdKjHGkLQQdrdg16yicMtXy5dpob1adPeGDduyeOPPyNZHDToL3+Z8tRTzw4dOn/kyEVjxy6ZOHF5OtnNzy4PLc9stzeVCgZ3dnzzzQNcYZJlWa+hfIREgqveA+qiAjTnVvZAmzWTwntqkh38POSjYBefv92nBK87oRC1d1wO6wHBk+KaBxjtbSKHBWc6BdeYDh9tRKPvUnfuF5b9sGnTqcSgl0LOCpCnOCL2L3mGyzB6xox3Jkx4eejQeZpH6Th99NFpjuw6jD0iu76jJG+fzpu3wZntL7yA2Q7cQ8vdUnMhuIa5RXyeDaTDgn17z7qd06r3gDqngNemnCGd15GyrY8VGuySkJ+NPJVxL5+/3acEpruoELJ3SO0wXS/5Xx3TEYnkcKm7EGMuMjPTO0hre6aD1JfryeS4YJe8wUqeQLNmvTt58mujRi3SbEp46KEJjz02HbIPG7Zg1KgXxo1bCtmnTHl92rQ3n3nmbR31uMaZ7THchbzOLUMiQJnrw1XyO1QJwcVMijgrVtSQQxsVSqCVIH9crR5QR5UzJIjcvvLbK+2ehlnKUxl3dOTtASXoXCgFtO0ZZWW6XmkJAUB7ocikz/SCYJ0Uki51uRxxyOh+8WcF6LFBL47jgTg0+V+mn0ZauHCrDoZ5Y8yYl5wf5r77Rv35zxMfe+yZwYNnK9kXjR27eMKEVyZPfjU229/hYRDA3bllSEHhvls9M+XKd/HM8Cy09AnBVfXFVq4wKZDavHnrLX5YsQfkK2dI0LYAyi/Z1A0NM5yncuzosNszSkC54Ar422kFyaYpQDnSaywhQGdvFrntHqanmZ/pLvXU6Bcb/2dxvA7Sbhz0EuA7mzg6pwBwefaQ23nzNmCDjx+/7OmnIz8M4f77Rz/88CRAr96YeSNGPD969EvEmThxOab9tGlvBHA3twy2P/ua8a6eGXG7K9+jATOB550QXGHESqLZU2fuXMW6q8x/ncoZuGLm8fAU4LXw4rjBmkySzEgW/XPpkHLs64Dbkwoo2beUkeaEAJq9XGS4sExHehkEOllc6jb6JZrsEJCxEpbxax2kOuilkB2kAa/zFBkg8Mgxi5hsz5y5Cl6PHLkIC922Ev70p7GQ/dFHpz355MwhQ+YMG/bcqFEvjB27ZMKElw3uarm/+cwz77D7s/LW0lr2mj8/4jvtAK6MeWaCbtWY75mdM/YvEaJmkKvJ/VU5g7ssSXkcNwVU7S6Rq2BNNskJBCebv9rd19G2hxXgsk8ooHnAyr4icu4zvSBYJwVMdXOpg2x1qUcTvwAytupMh879EjHdsL5mTWFmBQgA3WmRDfXDlPIQ4pmExT116hvjxi0dNmzBn/88ia0WsNkfemjCI49McWb78OHPK9wXq+X+yqRJr6rP/Q3sfeKb8Q7fsbLnz9+o3aoyzRmXJfa823tMzjljH0cNnTPRPxZcNe6jyhlc6cpfd4rmTmQ7WJNRcnrBpeiQ8tndp20PK+Bmb5YLASX7nDiF7mC651Ivg1CgCmYl3C/R65esdFjv9KCXAMddVup0CGqwix8G/mJxY4CPHv2iTdLrwr33jsRsh/WY7U88MQO4P/00cH8O037MmJd4EmC8E82Md+tT1aGQxvd18+YJ3wPnezxsRi6U8T2jc0b+WO3tzcoZ3AXvohIoRyFGe0ycV7AmKTn54EJ1VPmkEKC25xUAtBeKEMCxj4oTKTjTKak2ohEGvRx9ys5c6hndLymmG9YtOFhH/6eHbuB4eCK+OCKWcmywb8W+hsgwGnv8scemW5YsQPYHHhjz4IPjgftf/jIVy/3JJ2cNGTIX037EiIVEcHz3nDPieTfnTLrzPTVyxnO+l6Y732Pj3dXeO6X2QnBJC67eg3InzjpYk5RcmuBKdlT5p+AIewcVkLT3KCBj3xXlwWd6obCuIxor4Y5zqZv7hU3QKp63tsSNaHRMV1UY6F3A8I9VDcWcoZrgckcV5jyH7IhqsIuHfcGCzeqKWTFmzGLscWxzi2DhnnuGA/f77x+N5a5umcmg/4knZrLp6acjvmPpjx272PhuzpmpU13PauR8V+dMNue7OWfifmZXb7tPOUNwuXpSvZDmTlyZYE0guXb8oOBqd0iEYE02BYS9gwqQescVkLFPi/LQDUx37pdo3t0XXiiCSuCJrc/r+zKLF8vn+W1EY5LphirDt8d0GVTTBayHWe2oOKIa7PL1O1obAHfmzJWTJi0H0JA9sNkJd989DL7fdx98F+P94YfFC2/G++DBs51zRvm+JOl8J3HnfDfnDBcw6XyXI7lK2xXlDMGl6A3qzTQ3cd2CfzMEY3pXsE4I1uRWgNc7qACsd1ABFvu0KA/dw/Q098uLMqIxcqnzqy51c7+kudRNjumub9DDesT0vLEeZq+LsoOSSR5IUBULGmsa4xoWjxnz0tCh80H2n/40zqK5YHBHLDvjHes+ds7MYUftWRXnu+N7Ps53rip8l2O4GptDOUNwpr1ZvZ/mpujKxsEar1opsHVk7lKqQLSth7GOArzeWQWE7XkFWOzTojD4TC8U1o3pGUc0OveLDvDI5X5xLuNsTAf6/HY3x5PioASy6sgOZ8EuFB4zZrGSfQbgtmhB+MMfBt9119B77x2hzplxf/7zxEcemeJ6VmPnu4ycyeZ8N+eM73yPku5ICM6oD6n30zy6xFqA+fUJTpuVuoCJw5OYGsEjmVYX1cHipwUH3zzViV2QD9beoAC1PaYAi31dFIaCMx3+Alyo57lfUiMaY/dL6oVSD+gpprNs7M6D6WEeekAcmkAmjeycFGQHuFOmvD527GLQjA0OrzHMLaYfbDjsH/4wBBM+vWd1ijnf1TnTaef7tmzOd3LLRbMnpYXgpHqzejnNowuqKOdSG8e5/qx54YUi7gj3hSrADeI20dLifvFIpsxw73g8Ixph3EqTJRUGx+Kkcm/NLZ+qvUQBc7tbARP7uigM3cF0sAtBrHCr+0VGNC5Y4Ltf0l4oVZpHYo2tNGp7TE9zqbM1xnqYhx4TRyeQZ4/sG2bNenfKlBXjxy/D3MZsh9Hw+r77RlnkINi7Dn/849N33z2cOPD9oYfE+e5GzhTC+b7TrjaZVL6npiWwPFgITq33qDfTPLp2KZSXcp3VGBeOu6EBEBx2Q23u0bPPvsvNmjlzFXeNBzPiDvKQRtOmvYmmT0fyL+uRxSGyHSgtOC5bSfT/7agCqvYSBfDtJgVM7OuiJPhM7zrW2Z2yDnmtlKtLfXc8olGYThGHNRT6JUtKqAPuhdJMTG/f/XLHsY7IACEmuwx5hKrglao4efJrmNgGdxhNNAxz860ng/H9rrue1s7VUYVwvm8InO86MjJt5DsNI73OvY7v6ShHIU/vrOxCcenUuxKhXE1y7HExxrn4WN/EUYILvpXab3CneBhzy3gqT5q0fOJE9MqECehl7qbqZZbV7fYKW4lDzMmTUeouK+VXWR7SgmN0J+TDtLcpoHBhFTCxH4iSUECmI1IAvtAWzFHily4t1eK+g7IOYtgKYjz3S26XurAmN9N7A9YRebDAY4xTc+cLXqnM1EngzlaMbix3SA2y4bvtkgzmnymQ832tP/LdRkbGEwJHI9/VOZMY+a4hOM1uVYLjKITpHZddFq6V2ivyBgb3GjPF/CpcZx7nXHaYC3xBMJG5KdwaozZP4jFjFnPLaHVx71SLaISNHLlwxAj0PL8ss4b1bCUaIj57jRuX1kqbOvUNtevf4hD6LNepOpPBUTsf+STthQpwXBAFQOwH4qZ3A9P9EY3GuNSIRkq/735hTUzzNKaznIXpgnXWO6b3EqybyImF+MQjuGM+s5LqTd2mflJ1sbsxwB9+eNL994+5777MfDe4J5zvE/N0vntzirXvfI+dMz3qfE9AHIUY7SWy68CV4c5SdHVAl7xPx81V14qhfCUoh7bGcRDMLqNHvwSdITVtLO4UjS0e7dw1HsyUgcGD0eynnkLP0hpDLPAvK9lKHGISn73ip7h54aIbzVE4hN5reX6kN9TEESeZDoIjeDb5GO21CtDcaQVA7AfiFhec6StW5BrRCFDU/bIzH/cLHGchyfTejHUT+bHg4M4yPKW+UfGogRjv1Hnq5/Dhz1GBH310+kMPTcAq73Hn++bcznfXYHIhONPOqfdD3MnOmkvBNeFWWv8Qhdmscq7njBkreXbSQlKUvzJ+/FIe23CcBy07clOU3bO5RzyGuVk8j2lyIe4dogVG041bydPaxPLDD09mJZt4fls0fYpLK43HAGka4rnXHAITHr6zEDfU3jT/jDbU3CipyBEnJxMER3NfAUN7rQJGd1QBEPuBuKGFZToiEXW/ZB7RCEc64n5p36XuY50QZOaOy3LFefGbToT1VDnqHmbdpEnL1fO+CHOMmk8Fxh6H2rn5HjjfoUAHne/U+YzO9wxzAnObOIWC8L3v0lybm9Lbz+XiutH6Uat8BU9NkMod5FJzwbnsXHxMbPgLxEnB8A2j//znSdypP/1pHLfsgQfQGHuK01C7994R3E33QsM994xgDY0zpBFGufeT7UFuiOdek75N+8yCumisobZ8yhTudbKh5hxxPMijV5TlJJOhb5EdBbDOUwEQ+4G4d47mspyogZ0Q6cBfKj8UyDiiscvul8xMN7E+yE9vELlygWsCKN2noLgm1DTMPQAxZcoKyEvLGhOPRnfsfB9H5Y92TgTzz3Sf812dM+0734Pzzag+R3OKIqecfqfWa0trFdeN1g+XketJq0hdK89hPmNEw9nHH5+hHJ8Cf6EwSRm+rZMccNPe+uMfh9i9y1/sEjfUzBE37qGHxKgnfXt4qP1OQy1yxNFimDDBb6hxr6WhFvM9csRZQy2+15EjTs4/CD5Ae7MCaudWAMR+oOhuFZSDpBYzPRquq+6X1IhGihHLzv2ix/exLkyPTfWMTO+TWHciey64rjZqlDlntTlvyHht/PiXY+dM5HynGoOGaOf0ENf8rjvf86rz6pxJOd+jTGgIzhf1OZoTYqdZkUdz8ZhPn/6m0pxH7xIek1jlivLZ5lcB5WqPT9SW1tj77x/Fs5bUYLFDcyA7nL8cBBeTm8u/JMUjnLtsRr2lz+H4xX6PHXE01JwjLtVQi++1NdQ65oiTrCRDwNNeqADigQIg9l1F96Pb2EfKkBdTjjpPzadYOGyxydwvenwJSfeLx/TA/ZIX0xGbgiz1TpFPC5y1NWjs4WfuWjUJxflOVYS/5pzB9AYcUAOTPLdzxne+U+fjNjt13view/nemTrPLUs6Z/oczTkFK5CcIGdqNFcvmfWCSC93THMMc3GwgNHYtQLKpVHFNb/nnhGQ1xnjJOgvyJEyBRfHhRyRCRzCX+ARkj4KVpwzniPOGmp2r6OGmrvX5oizhhr3OnbERfc6n1GwUfB52gvVz5geXfTu5x2HAMGwFVRRAvwGrGWAAOI77n6pzsf9YmJrkKveLHLrAudO5Qma/IoVcb4HzhloQh3GJMwxeIbf/JzvUucD57t+sCnlfE/U+Q443wOG9h5Z9ozmzv5gjfdYfWPyZHGajxmzmKcgbZ0hQ+Zy6WgAcf21/RT1fwQo92VHseD+DdZ3KCT3tQORgQ454iZNyn/+5zRHHPc6oyMuDD5Se5X6LtOjK9uDjONYIJgqzf02OrtAEbFfjCBsUm3Ii/tFUZ7GdNvR6BwzPc1Ut605RIQgY31CZNsFnzKxc2YdeFXn++uBcwbr7KGHBC7RzolQkDqfyfme6nAz54zVec85k1bnA6TeQVl+KCrWyUHmOQvaIvPnb2C985srzV8aOXKh0nwOj1JoznUzw9wc5XffPewPf8iFclv211hgL3OnIPOo0Loyp4p2kEo3KY8KVrJJHxhPsxfLtrsLwbFUkSNO5weVe+0ccU89leaI8zpXpaGWqXM1csTpve7AFBSZg6PqHVfAyl6u6PLdCa5xUFdhCOY1Vq9C1E0KCygcauKJqc4aOO5Q7sR6h4Mk0/PEOiHIXh+S5d+CdxlTzhl1vofOGeqtw020c3oI6nxnne9ZO9y0wZ6X890nbI8pOraWLkdzbRWlujR4ahJh4sTlNFzMNlenuXR+mpuFJ6LSXAzzJM0t/YxBuzqF44Zy8E065hzT56uMaXn88RlKXhmiyg1FNAsQK9lEItY+4BHuvD2WeDJYZtQRNyzuXM3miHOdq8sydq7Onu3udeb5n+N7HX18kRpKhbVsWMjxxZuQtj2jAJq9U9EFutMgIwPcTq0zfjdpxHRMPBYWLYpMdXO/GMd9sdJKhqYWMT3Gel5MNxEtyF5fFGdhgYefOd/dy1xUM/MSBM4ZKACDHnpowp/+NDZbtffqfCGd79Zgj+u875DN4XwP4VtYRYeJUB4VS5/mFEvOgtOhUWIDTInMidN8AaZGc72YPs0zozzxr3FcUA7EH3hgrD5BpUsTXuvlTfm+OG58haWFhLjULLOGxyqbSJBbTHzyZuMmzRFEmna4bMGyZHnQe50aHOl1rs6P77XviONep5zv8b2moZb7Xqd9fJH6a9mwYHx3itb6wYdvNymgZ2+TXYcABHdK5IRbCE9d5QHf3Hizg9jKAv9SCKhU1HPWEDMQK63lbqmlM12wznqf3TlEzCCHfVeciwtcpcDMBEzYzoFzxjwGmIFm1kU7J4LV+Y47351zxup8mvPdve2ScMhKnfccst3F9yhFD+UcmjxQIPVVuNRFsx4LADp+vIxQHDFCxrSwI7g0T4vR3JzmRm0nO4S/TNB/MeGF5jwDuPi0hLiMXEOgOWaMWMQcLvZrwcpV1vSxp6NewPWIZ7YqmsGRlLnCsJWrjR3NjQa7PAnIM5t4BvNLbi2rko9MwbKqDYURyc5VdcQlO1f9UbDuXmd4s0nvddjR4t9rn+8B3J2izX7wcVwQBQwNFB01SwgiF1DRAXoZs8iPY7o5DXRYmHgqKQFspaRy+7n33HhuOWuM44FYr4XAuV/SmN5RrBOCfPZ12UlZwCbiOnvO9+hFR88584J5hAE01pkOtsvsnCG4Op/ufJc6n4fzPa+3XXgUxXU+cs5w3CTfCQGmcyjawQuGctKPUS7XB+6QGbJE3uAjWQWOSvNl2KfaypnHOSrNJ5MIyMttmyeXjeb33juSdg+GMKlxucDuhAmvcH3M4LWLw53ishgHqSbk0Lsyu9GSJTIJO2IlmziEPpDE9W/vQGkvizyT2MQt4Jez4FkO3zkFYM0TmsxL5jIFy3DiXmfraEm92dSVex3zPYNzJpuiSH4wNHdaGUmaMcQ3NSVb76fQRVmChKCS9xKRMRBM5eTOxUzfwT3mZhvTuffcddpr3G+2sobHeLoippOCVfIuMt1E/CCr/UacmguubcQV5tlp8PKdM85HbHVegZXXtDP2QT7qfNL57hyycZ0PHbJxnc/skKXOczgbUOF8slR7u2t5BooEu7CjcZwmoKJQvkexaNEOEMPVMMOccoiZSd7U0yI058kEzTFOoZj2OU/RKzOGVgspu7rsZEf0Q7xpCAxlX5ioKH+OlLnsXApugUIce1bO3Qo/+Yz273iwG83V4zKSIGuwlvh1bQ59lr/I3SEnjz4qrygr37t6r3N2tHTyLYcO8d0URQ2CQ3a7yhjiq5CXiB+guaOyg1oIqnRvEzn0mC6vkirTZVgem/gFNNxp1ltlphqbfLKzfrkOhmWhIExH7BJktf+Jc7RAhYmd70I0NU7F+W7OGWqjjs8TkD0ZTUsgw96NYslgZTh2vic73NqdduZNs08zOmQXLRIkUed9QxVZ5QdeynqnqLTEkq1EU6vWfVeoyEin9uwmRbnMt8XR1TCX8ebOa2E0J/+PPz4DhEFkzs43zO303bL96xZMXBmejuxOOsOHP8+1xZhVlK/iKcJpWmknn7ajC0Fro125XWx3C2YDEThxzlpNeKluXHOeW/rWq/T3xvd6irmSco+C1Xvdbudqxnud1xRDyY4Wm9+fam7ZsBCgPLeiffzgc9wXwd28TotEAkznIz24hAJOzNLdIpOQF6ZT2YwplGkqlTGdlpqVch7dVD/WpFdRkcO6a6OlM71LWCcEGe6XsjO1wMWk8phNZ84HbgdVDtsKujlDlYpKi/uRRyY/8MDY3A12frvmfLfR0CnnOwmSK0W8NNvNstPKD+iF9Yr7DNJNQnDiK8S3KsfFJAclAGX27NUUOVDOyU6ZIl2gZMb1NHLKEIqzBlh//vMkYMcZ8dxS/0la5bXg/nWbQL+jOYxTq/xND+VFXHnb14Kjc6eVTMRStmD3Ov0tBzcFhb0Hax3p0b0251K0cyLYySY6V7nXGTpXvXvdgfn9le8p5zvV34w55XuuztV8FO3pB2O6u39dFAkGyM4mO7oFo3nfZHpkJ8ZMl4lnqV2zZ0fuF+qklXgf6E6sJxFjd6GYbmJHQpDtfiw7XwtcWOoPVx4Igj8qGOCj1mFemSNC3crPU1dpdNP6ZhffeLdi7IIV7C4630mH5z11noJBtaeoWM2nkEBnCo9qiye3UkQ0Jbh9Fk76EknKTHLS57xgGUfkuJirZpiTJR48IAkwQXMgFZvnI5N+c+RO1i0gLgu7PPJIRPMJE17hcBya/HBtaaFaZEKA4C4qR4J2OBf0XkdvOcT3Gr6njb7n0es6WtrlO+L65O5c9e61TBvpP8u5I4nOVXuQW+dqEVmN+W7OmahzlaMH9jshwHeeina2kymISC3Aty87HGHZpN8un/q/r03//Rsz/sC/fQjoiHxyA5JMp5qxiec2N5XixY3EwqLMsTJTm1qYTovM3dECMt3E7kHO+5kyvp3PWbuAWUT94S7oOBBsW+nzoOI5hywEJNoT8im+iW4OEwuuPFuIS3jWt12swZ5wvkuDnd05IjYdrKF4aM2XoSBq3BnrkwLcpjUUJyKzCzuyu8fxV0l//PilHIsjclwzzJ96SgxzcmVjWh5MvQs6/I+JF0Hd2dkCgXPkOkC0mOYLIRfAIidcQxpDFGaLGVz5Aipb4sF6zUUU4nsN39M6Wsi5tdUAMXeHM7Jnuflnop0TwS5O4llu99p/li9UvrfbuRo533lgJzpXxTnDEQFC7H/P4KLpcLATKJRIMBvKF4z8xaKxv3pp/P8snfSbV6b872vTfr9CmW4hqLG9VmQV7MaDqeUNPWW6GAhs4nYCd4oUhgO4p5yxUpmewVvKJvWyRe4Xj+mCdeOyj+mOit0JQf77qBzB7aQs+DU8qSiS53ynLtF+0jofOWTZSoVUy302Ji0sM2PWdiRYkfaDrcnf+U5kDgFW1KwTylPzgbI23oX1OeV/Gc4N5YbjYpKTPnYoxiOI4aBPPinzbalhbpPfRmNaeA6RW1dDTXoqqbOzldbHCLzAFsAKaG4xCcF1LrhyHCLbJs1XFPx7DUm515yCzmxjz/LI+a6dq/aWQ64phlTBW2zc66zP8mzTRuZ4s4kDQRJFvJjw5qJRK951p0uPupl6xod0K9DqeyUwIb50P8T5LozIX4DyCY/8cNoTP5k15GfzRvx84Zj/fnHc/yyZ+Jtom/KR36AC92ZZnrlwXH0KOkznDplRwCbuovM2son7xEpukt4nX47pkfslvj2p+2TrHaA7LRIhBGfRy5Vxeiw7kR+Uf9Jk/1oIYgaKImnwHbIYTayhvsFNJftC6vnDD4sT1nfIWPBLuAv2b27nOxHgO48NUIJZR81XzyzG3RLqv/tWpwn0p2sp0YjMLgZxMgnHgQgoUY7LFLjwBcpwXDXMZag+AOKRk0Q50oxHObcFBLPU0zKZK8BKDs0TJab5TosZXNVuVbbD5ZMNzawEq6Tpznd5lltbzXe+8zjkWWgPwjw6V8Nneex872RHOsnCd/XPuEGf0ssaU17GfarAvcl6zk2lrGerDQxlF3ZMFdZCSa/AoIf+5ytP/OHrI+7/zviHfzDlsR/PGPzTOcP+yzYRODYZMqKtWCF9BUGt7rUiq4ASInMRufrcDG4MN8mMPujAYxnEU4BoBsr1jZlu8rHOJoqduV+6j+kmkgpOpFcpqJYZxSk4oPtivR+CvQJFkeLADaJScb+4fdjCVHIsOHO/WgTtYJThIvavBSvkrqhbsMKfdL6ziQSx6azaQ3lqPkcZNkxAD1Mw8fj1xMpIim95qZJdzBiHuaRDaspxN2/ieLPKYU386lD7r/XHm4awF4mQLDzi2cYmwEcBpnhbKQ2uYQ8ox0Hzzw8xXXAd6aDTOd+fjacY4mmqznd7i20GLRXuONSOdk4Eu56uczXjs5y7xu1L/35L5Hx3fLfOVZKyXpYFC8SEp0CqFZ/qS/dUpNBPydYTDRGfvXh6uVtbSJHLB375pcd+9+9D7/3W2Ie+L5dBAydgsONBxCWGaJDL+n+DSt5rRVahMHReskTad1x9c6ZP1w/jUj64W5wmhYZLbDZO8HTNZKpLYyXJ9IJjnRCczh1RUPfyETkPUJ5Rdo4uBIkEiiKplcRNpIFFfaPuYWexEoxibbEQN9VnU11hKADVnaJgpd1+LcS1IOV8ZyV7Ue1ptpMCDwkqP1DGxMZCBAEqFiKBbH0GRMscl8iPPiofhAMcPG9A8EMPRRznEJAFjuewygn+v24rO5IrKIbhT4OA04cy1FDiUEQtcnDRekw5Dt2JXOmpREENMvcWW+R8tyoMcykAnvPd5vcfbzcxY7AryfXXzlV5lnNJucte5+pcyg9P6LhzVZzvXueqcCPuZQnetpW+dGSsT0j6z5HG2UDkuBd9XeoGF1Z2whY4mQkT5N0ESgzH5mECDbmsXFz4aB0CQbXvuuzQfggidE6ko0yP2nRm5XE/ePayiXYWN4kbw2lqN6nP9AjrMdMF62ztAfeLLxIkBCfVrQpqVydEhgN25yM7UxeCNBErucLif9RA3aB8Ukqpcvw7SV9c5AlNxeO2UtWpkNjRsP6pp2QeEmo7FVh3jUJQ7AluzV13yYBomu3UfCisI+fGAGVl/Xh+nfgXKPhiJTGJr5a4vFlDUyDmeGiPm+yghGCN+5fdSZanBbihdYItwiMNNFCkKagWObhcPa9seehi3vTkokB9BETgiOe68R2kcimozoHznTturi3uQrRzIui1HeLaataRHneuziSRjNNGsiPHAvFTpqxIdKevmqUzK5gon7DFl65fRbQZM1K96KnbXFiRUQoxp8TJ0AYh91puVqqvOXolhwtqVmph3S9ydUnNGyVpitYn4ndIpECetR0nz3mekxQCLiX3g008frklXGhl+hbKCisDpntY71H3iy+StRCcXUEUVKGui3wGvO6Q7Exd8JNVpovVZk9fgvV1Q3Ye1Sz49ZzaQhnmFlOYqZOUakwwTGksMsp50FR3tcAPrnZ4cnMZRjPTIqW/k7CbrdnwbbLE7SgEf70F+5dEYA1PI2olqOIpBUrAASYehZlSbZHdJbqzypGTAmUyzfKjhgKlF9qZQm4ejSruOM/adjtXudrcQZ7B5nzP2LlKZOW762KRvnQsYIpZDPrXY0H8UKxkE9GI7HrRM5azwojsYl9wDmYLcFTzS3C9us/9Ilc0E9CdogiJHfMU+xrT7dmuxt1qajuXlU1cU3CgTF/vmO51bkRYd0yPTXUZwMRCkum2PiByAUXihOAcO6KgknSLyGGA6Y6KFH64Jw3uliyXl1sQW2oyF5ttdSHeGn4eaHr8sTfqoTbVI1esdbX5ppxVBH/BBVdTOiq3r6Xjgttk/xIsGjLDHBgNHjwHNpmN9cwz79BU58Q5R4vvX/beoGxZKmhWo8KsF0ACUErvXHVTyL3DRQOaNu2MPtH9j6fn07kq7TOaYjxWXecqW0nKEK/d6QtHjVo0atSLHAVbfuzYJSZKWqylTrop6kKnHLLjyJELU3e94CKvFG6aHjyUesD9QgqSSCaCWwjWB7vnKXZ0TOd+cy4QHNuc5yqbYqavovLnYHpgqvew+yUpDkEIzjSTgsrQQyJvAaM7Kkmh4pNg/QdlsvyfR/5WTlgvrGM6d9PGsLOe8on9bnEscI+4a9aJEttx0slGg5c7zhOdqk4F06a6uGLV+T6F2h7tryFZQboYsiWlfaQiUGKGOe0JkEHlx5rTpuQqzA5OBMvUdgmueS9RjowVNM80LlPlXK9HFLJ0rkZmnDnfje9Y34908M1VImMBsEZ7WaY++uh0io16aaw7fe7QoQJ6T88hDudk6zGaeSQQnwe2jFxyxaLgIq9knWYp5SkP94vcJHdZOyr2ld3TqU1ww+Td8Eo/QpBIu2IXsmqtdXWmb+FctHW2gicWW/mlpWYVRpkuLXodbJSL6enuFzje00w3cSAL6cX9zossBYzuqCwFYXr5J79b9HE9Swlcdu6C3s3oCT17tszxwM2lWLLw9tsHTRo9Csp3Z8dFb6vyaE93vktTnTpprlioGu3sBVdNXJXJJotPCP51gWa++XBMtPf/9KdxkAJG0IDgSUOWaKfzBLKGMjnvbZ6WbMqWw27IeVjfkV6hKNjjP+5c5b5b52rK+a4tNn+KUHnbK9o5EexW3qUvQ9xzzwjMfB4GDzww9sEHpZdVHfEG+mmIIhTrGRJXzaBdiFhmPXGIbL3o7ZenrojsUrY4ZCb3SzQh7fLlXXW/yBVKAN2nuS8XUxYSSeUWu1gHqT63pTHOuViLjDrDVow1z/cS9ZGmMz3Cesz0COska/hOMt3WB/ztJnEgFxIl/o6JzDg6d1okIkyvSPPAGNPViyp0humYYKynZHL9WXBM96W7SuDWaDs9suMSznebgGWpTUjw9NNz2eXRRyPnDNi1RPxgVabdENvgab54oAAOjONYecCF9jjFEnOSzMR9PFvJqhU5QnCde6dy5LN7TiGs9U56zaJgpoA22jJOEQrfU1OEAuhsd9yC60exBVvGIGaX++8fxb6qMTwkgD7WPVDlXtMKtG9CuS50JE8RH8FdETkL1iBWchh1v8yJ3S9vBu4XzF6qVqfdL3JJPKDbvwHHA7n4spBIMIeIzxPI7qUhwBwvVF3uIls9f3pUf1iZkemBqY7pZ0jtDUx/bfrvkS1bSJT7HhUZCAAd6NKlS8GapCQRdb98v/QTLP/nIXG/6BM6jemsxP4yj0SA8qSI44I+HnznO/V8PVY/9dw534lmppxWdTHldEiifWBIPv5pSZnJ5mS+Wmq4bpIaTh3WPreJpBAPq5hBFaNh7jhOscQq5xFFNoCOb5gTgit8ZxXlKUuwCH58Xzk2dU1h3Q+kWYsClZoCY3zX+y7P9dj5npoCmhabdq7KtMAY5tHOicBDWn8j71lAVFX0OI8fANY4S0UuANMtK/6Cv+nee0eY+wVTpeDuFz1gx4Busr3kN5FmDhGfekujG6MMI50nM9VG75wMSMIcU6bz0JKxjNxgYrI+H6Z77hfjeBrWWR/At/vEsSQbinUnW0lIL/c9JI4bANqppaWltbX19OnTR48e3b1797vvvhtEcJJEzKVe/slvrv+Ynk0qUBQpkOCPZQjI/WIhIHhuaTJRMPM/4XyXFgAms/pnoi+C0n6FxU/q66B/+YvM0GIpEKzFrU3smUR46ikkL3k6N+vweL5AqhXs8DnO4TgoJVCbwqkpcIML2/OK8pEegroZKIqUCC5Bl3ihleZkzyHLD4FabHynONl9p0RxO7TRJpQwvnPTtXNVpgX2n+XZgmOp42puFYzpFnhc8Btszel+KabMcS0gV0fdL3I8D+jG6KBAZJPtKL+JZLOJyGSSe4YhZv1pdrfMlcZWatfEictZw/r58zcu0omzMY7SgZ5keoR1QGD4Vo6nMd3WB/DtJnEgyUM6051sKyFRAbpRHM6ns6+bN29euXKloaFh3759W7duff3114MIvkjHmM7C94o/AeIDV4wFbq7dkYDa+cvSsRA736We86/W8+glF/hr/nfrX8UmwIq3vdIHt9nINhGbiA8gwLdO6uvmEokmAoTj1vy1dCwE17MnFeUgDkE17IqiFDUEBy2oQg7kUJQbDa5zlftOieLW8KCdpR9Ptx71MTLF/6Kn42mB2cVeO7DdXQgAm1fw+dsJWSJP/uHrtkCwx44fgdZid7hfJHKngI7cvvkfkZjUT+6T2nQyb5frHaUGspWbFDyxWAnQ82R6uvvFYb13Md3JollIVIMCi0P4aHaqq6u7ePHiqVOnDh8+XF5evnbt2iVLlgRxfEk6yvHv7frEd4s+/v0yWTasuwh+CEjdOUVpadCp38QPa/1sWtVlwsh4KHT0XX9Yzy9rKGNUE+wD4rCAWM+/lC5aFexOItQgHhi+X8VCcA17UlEONAT1rpsUHUxDkJkCKaRBu4pyo4EKns73aApon+9Eiwe/Rz0u9+X8Ml+u4ODbOUWppAcbquki0L7I7X6Bax11v8hhPKazHNzmdmW7y28i8aSIBljJJ7nFAKdeqctMJgnhjHjeEgGrin+pkNww9WBGAxnzZHoW90tPMx1xLMlGguPZZPEtpNeEwohkHZd9VVVVHTt2bO/evbt27dqwYcOKFSvmzZsXxPEl6ZhLveyT39r88e/vTpnqP4Dv6ZKT8UJA6k4oSigO3FPKPHef2k6hovFHXcDKZpNZA6CfTSopQrbMepZl/0QILloPK8qEhqCi9bCiTGgIMtllhVjIU1FuNHDHvYe6DJrSx7nMAAgYJ+oHqlyny+OPy+QzOv7dvUgcvUV8991I3kpz3apOhWH6i+P+57lRv5w15GdTHvuxrfnLX6bw6+IU3P0i0boAdGQp5H84M9Ixi7Qzbb2OYZI+bprMbB01KhouZo8r4nDbWG8VMgn0gOmGdZhuSI1R3qtN9YyyfS0kqkQnRVIBnZ1KSkq2bNmyevXqV199deHChVOmTAkiRIoxzbK5X76x9mPfK4mYng3rTnIyXghg3TlFaXmBW0wZY4FiYGf91lsHNPIh3Z4K/sW5s4oydKc5nk1R5jQEOe+s8nWyZ1OUGw1AAL7zOLenOHwHHfFLDzbzu0wupoOm5g0ZMgfKW9cLLP2Lfu0EWxni6wAYmUaCf6VLxtG5E4pyNuk3Syb+ZvGEX784Xsg+c/DPht33bXLAJhetsO4XOWrMdFsO7mW78ncPEk+KONQ3bgCPHyyphJG+kAij9dPpbtCLGVwJoKeYHgDdmK7ul95iqgew7oRIxEKiYnRMpJCic7reeOON11577aWXXpo7dy5AHzlyZIDjQJKUQvy7Oz/x3eJPSCJ5MN1JTsYLPqO7rijRTGH16tqVK4+89ZbECS5ONuUfs3PSfEkIalavVZTdwlyWEBGdU5Qhrfj8qv1erJMTRONnrN/lmWdkcmCseKxhjMgJ8k0r9y2URRB/+PBogk/+lS4ZB+hOyDL06tTfvTLlf5dN/u1S4D7h1y+N/x9bb8Gixe6XWV13v2iqXQI68lMI0k+KODQjuOKxJ93m8HsDiHNZ2Tp8+HOBM52YrE8AHWVlumG9j7pfcstSs5BeN/ISe/kcDzg7a9asadOmTZ06NVifUZKUQvx7uz7xne0f/35pLvdLbsnJeCEAdKdFUhB8w4aTLGzc2LR+/Ym1a+vffff4O+8cfvPNA6wMLo6TZCJLCGJ2RVGKfQflSUUnoCE4uw4qBEWnFeUmDjp+Js1FA1IwJaE8zAT0QAabeJZ+AAvmmLDukbhxfEZ3VJaD5VP/d/nU30F2fhF8t/V//OkXbMFiPvhgLvcLvMvT/SJbFcdG5OCG5SlLJPeBTMSBcVxiri+tCq7sszLzw1uTJ9u0bWKk8zt+/NKpU1fAepsVwBwvAcd9ZWP68uXyWRMWYpTfGaxzIMlDgs5dl6VsIVFJMouYAU87LUnK3C9ln/zmxo9B9k4z3ZecjBcCTHdI7L5mTR2/mzadhuzr1zfy76pVx8wDY1cjYwiy5GRb/evZCVkihKAe9XVFZ6UhOOW8FRKj64oyFAdFvHSoQHnMX2gJXl7UydOx6J/XL4/zyzISN47P6I4qOuSU/0VKdoE7svWEB/77S/xazPvvH/MX+QC5736xcdwdcL9Iol1muktBFhKHCEQcZ6TTIOI5yZNQh7u8jJE+LJ5ZjTaRN4pRvGMBxE0eyp0Cpvcr90sOkb4LiXoSijgBqjonScf8LeWf/Pq7H3UjGruOdSc5Hy8EyG5X0W45Q3DEdsUuwfXMX3bEoAb1S9mZWgguQnvqqpM9t6I85R98RndCpPDy5N8iI7sZ6XaBxj/8AzlAQd0vml6KyAT/ruQjt3s+TCeCEZbAk5AnkBuTPnbskhEjzEhfZKejI17kdGxKgHRwB0px3BdPNXZMZ7ph/c4wXbKRYHGhJOcyzdp27Vcn1gec6rQkKYX4d4s/8d2dn4hGNOqsjUHMrkvOxwsBvn1FMbzwleUf/vqaj35nu8xOEyTbUVmCwSVtV7ZXUH3+SmTnbiG4LNnVvWTPXwVg+pKJ0kfqy64FYcZTP7UFi9l194us94gc3Il2FeweJB6ICBZ0/KKY3nPiF0fH63xsrBk+/Dk7l9hI37Bo0TaMejYFvG5XAN2Y3q2m+rVr186ePRuszCgOJHlIsLhQksSn/U6xLqbAi+PSumEsuArDcsCpTkuSUvfL93d/4ttb2hnRWEDJ+bQX/u8Tf/P3Q9/zz1Pe/6/Pf/Crr3/kG+s+9t0imckgSKqjssTdxcwti0wI6s5fraLLkdcF7BVYLwDTXxz3qxecxopYaddi/shfyMXIz/2yVKZTz+V+0ZQ6b6S7ffMBOiKOeV1YwPqeO1deHCfoi92LaW2wrCfyss3FGM+va0Z6iOx2lZ3phvUCML21tfXq1auNjY0HDhzYvn17sDUpjiXZSOC4UJJzUVMdpi+Z8OvnR/+SNfzC98UTfr3UMw6oMPwGqOqcJJ3Y/QI03YjGQqWfTaSP0c0Rv/bmR7609MNfmP/Bf576/k+PeO/fPfU3//dxERGE6cPe89np7//iCx/62hsfsTkMgnQ6IRIhpNMngywaIag4AzJFV0dDcOk8CdbvLNkLwHQq4fOjfvmcasHIX8wb/nNWBpfAQhfdL5aIg7J/uduV2zF/oC9fblMwStco/xJoWEzWb19YcN8WUK+LfFeas1iyRF4MMUB3SvIpNQ7Nr+N4QZje3Nx869atCxcuHDt2rKKiYt26dUuXLg3iBOJYko0EiwslORdMdXW/vDz5t4vUGiCw8NL4/6HBt2yS+PSccyZAVaclSSnTWZARjcr07sY6iX9728e/sfZjwPpLSz70+bkf+KfJ74Pgf/dkDHTI/sTffGbUe/9l5gf+bfGH/v2tj3xzYw8x3SIEVWZAOWRXzEJwMVV3Eush08lisCa37KzguKHcBXfaVnUJFrkr7hdZ43HZv8S5FewYJJsUcSAaDxjzupA9kC2DhDSM0U+M2zI2u+saXSiTdpWwklPoikihO0z1urq6c+fO8VtTU1NUVPTWW28999xzQZxAHEjykGBxASXnErtfbBTs/BG/WDjmv18cr6b6pN9YVw0RiMbWgFadk6SjpjpGukwSYCMa83OpEycZgjgZRbRvb/n411d/9Kuvf+TfXvrQ52Z/4B8nvu/vh74Hjjum/90Tf/MPY9/LJgz5f3/no9/aXABnOpIsZmG6bQrqy4A6JLuGFrxre8cM9hTBo0zFwa1vV9EOgwZNf/I/pz7+k8mP/Xjcn78frQKgMwSjBIuZ0/1iX7PL7H7RNFJGOiG4stnk9sof6AAUttpYF/O6zJLPisvM9zanLsG8LizEXpetNn5x+fKQ0R2VJlJ4pldWVh44cAALfdu2be+++y5G+jPPPBPESYpjSTYSLC6U5Fxi9wsEXzj6v1lDg++FcZjqvxZTPWY6cQqFdUlEmf790k9+a1O+IxrZSgj6Nk25d0S2r4WvvPrhL77woc/N+sA/jn/fp4a8R8xzx/Qn/+YfJ7wPE/7Lr3z4P1Z99NtbczH9uoampqYjR46UlJSsXLkyiOCkhw2ZbiuDyjKgLsquqgW9zncA6xG7ycEffvr51K+tSWd3NhFTUf6jSX/54YRHfjD6we8NvfdbrAzO0GL67pfx40P3y5IlWd0vmkaXmC4L3plnE9HIgE4DYAPS5ds3tCf8rlEL5nVh4bnnNmt/gEzEwb5OAazzl6YjTIeqDuVOtr4Tgubr1q178803Fy9ePHfu3LFjxwYRkuJYhADEBZQkHrtfYDcotyMuGvPf4n4xU32KYb3wTOf362s+mpokwOaEScRHkqdMQLf1VswIwV5ObPruzk/w/IDUFrPdgEWfY9DL1atX29raLl++bA2vzZs3v/rqq0EcJ0vQ0dxqFsGvJgMquOwiE3oY6ymmEwbf/U1bINhK25pbFh/bfMyD3xv5wHeG3P3Nv/z2a/f/8t9sPYHmM78usrpfnkl3v4gzOrf7RRLy6Bxcvmzyd3FJ5RDRMJCXyXcSUpOk64B0mdrF5l9UN7pM18WyOY5YsK5UH+ixKjphuVtSCVM9JdYH8M1Hy5cvxzx/7rnnZs6cOW7cuGBrNkkeEiwuoORcYvfL4gm/xkhnjd9TmnK/dAPWZZKAne1MEsBKQkBzE+v9whbs6MQmx/SvLP/wFxd+8F9mvP8fxr3vU4PTfC9/P+w9/zz1/Wz96usfYY2FIClTQ0NDc3MzRvqhQ4ds4vgXX3wxiONk6QzQ/E7JrrmFADjdoTSmB+F+/ViqRcgtoo24/zvD7vv2k3/8+p9//dX7f/Fvd/+/f/3jz6L3SAn79t3m12I+8IC4X4YM6Zj7RVLxAE0ILlxG+bu4pLJJU5UhKzQX1Osi0wDYlMc8e/StUZl/0Q1eBOj8u2hR5EYnzwj7Op3pGSWgd6z3l02kRjRjOlSNUV6AntLp06dPnDhxEieQ2JRNHIsQgLiAknNR98tynWECC501C0b+Iu4p/bX1lDpTHbueCAG2OipJwVzqbpIAHeCYTJk1hADlJtsUlLdgdxPrv1sUM/3VD39x0Qf/ZaYw/e/Smf7pke/9l2fe/28vtj/oBdvc5qQsLi5ev349Rvrs2bODOE6kM0DzXiK7CxYC/hRKEWcJL43/dTS94tOp6RUxqPl17M4m4mDjP/67//jzr7/ywC+/dM9/ffGun33hDz/9vImte/emmN6e+2VXDvdLh5jux3eJ5BDRYCu/L8Zfkedh47wuNrULpjoGu/cckrm6eAzwa0zPG+tJpZFdMxPME5CSodYnb/eJA0keEiwuoORcwp7Sny8c/d+Rqe73lBrWdZeAXB2S7G62edknv7lBXer6bzJZ1hACmptYHxQ5xMogBcTKBNPFn/53T4kPna0AHX1m9Hs/N+sDX1qig1425GL6jh07bE5KLHSaXwsXLuQ5HcRxIh1CkM8B3XHZfbEQsKgrSjEda2iJTq9IpYLsM4f8bPh93x46dD6bHLtziGgP/+arf/rVl+/7uQE9jenV1RHTLWbPuF/8yC6RbCIO/Fqmky+ybF6XGTNkGgD1usik9WA9Ho3+7jz9ivRLL+1kF903Arqps1hHuU31/s107Smd+JvnXU+pmOraU2qDGgtnqke7w3GdJCA1R2PCpc6/Acqd2BQUOZQxY6x0TP/qazD9Q/+ifaQyOP2JmOnxoJcvL/vwv7/9kW+1N5Dx7bfftjkp58yZM3ny5OHDhwcRnDLmc0C9StwjPwR06pBSTKeqUG0wiGR6xYmQ/de23oLhOIcsWuR18YBuTK+sTGN6z7hfLLL8eiecTUSDpDrWpYgWg6Q+aBAZ870u/gzpxLH3pFifDmUf652De2Swk3I2piNb3wPiQISAwoWVpJ+pp3Sh9pR2t6kukwQUfVxWZjLV+TdAuRObgiKHMuaKlWlM13EvzvfCVpgug17Gve/zcz7w5Zd1IOOmdpiOoHk+c1JmzOeAerO4ZRlDQK2MSjGd2iJGkNSryGKy9RjdtmBEziHi3PNfX0wCnbBnzy1+XbSuu1/axbqLKQveCWcUcaCnvmGUNkM6653XZdy4pe4zRljxlk/Wm1mdDmWnzjEdCdZJnN2zYd1o68jbfeIoBB/B3SE5l+w9pclBja9Ni/YK+JW/ZF+FeGqSgIRLnWVCgHInNgWlDrHS7e6kyeQKkB2b/R8nvO8L8z7wlVc+/B8rCzw4PcjkgPqo7G62EwyyBCpMXGek2thKCw/+6sv8GpFzS6IlgE6oqGjj14/24IPju+h+yYZ1W9khoPPwoGWgRrrrGn0XI33iRPmqL8H1i9Ke0JkXo37R+J3+yGGSHe6dEenz2xuY7sO3myTnErtf0npKx2hP6YRfL5NBjVERVaaLqW47BhTLU9GO6n6JPnuUcL+wQAhQ7mRbk8XP9vXFShn3sjl+5+hFeedI7HSdGICtGOnY7P808X1fmP/Br7yqg9O3DDB9QJ1Rium0ba15a7JywK8/vWK7spgEH+gWgmidc78YgmVNjHUDtx+CTf6+GUUc0Ll0qU0DEBnpbq4utpqdHn/DyNzo4nOP5851s7WkyF4ouHMUx3QUYN2t7z5xCIIjb7dKTie9p3TeiJ8/73pKvUGNkanu7RiALE/Jjsp0FrKNaGQ5QLkvthLSalQ2phd/4tubP/6NNR/96gp5j/Tzcz6AVS5jGY3pT/3Np4a8558mv+9fn/vgV1/78NffbeeFo/xFIgQ/hwPq34pQy11fMpEWroqm7gRxpsvmQYNmDv7ZzMGp6RXblcUkGNYd3IM4nXa/GIVljcfujAr2yijiAEegjN0dG+nr3PhFe2vUsieHjF8vYoGWhMrNip6ahyud7Lnh3k4EDnRn3S+kT3D07FbJuWTtKQ0GNaaZ6rZvwLJ8JHspxzHSv7Pj4zLvrv7rp8YyIUC5L4uQqlFZmP49mL4lnu9lsc73Mul9n3o6xXSZkXHq+/9VB6fLLLvbBpg+oM4oxXSbUtHJGr+EecN/ThPYlh2U25XFdyHYiljZOfeLY7GsTHDcFG1N3yWjiAYxnSd9wYLISLevXrAVrGveZDQ6edOEHdCdDOsR2WO450P2fJiecr+gnmS6nGpPAR3JsbL0lOYY1OjvHuCsXUW7lH/y+6XSgWkjGjvkUneyaBbcvk6s5LGB6f2NdR/797c+8qWlH/rC/A/KHF5DMzF9xQDTB9R5pZiOQeQ0f8Qv5g77LysKWiSi4Iicj6J9suzF+k67X0yaduYQxMwhIkNVjmVj0jn6s89GU7uMG7eUrToaPfXl6MWLzesSMN2UkewB3H1kt0t8EYfjIvS8qU6yPjF7RnIuiZ5SfnX6l9RMjYr1aFBjsHtAtNyK4qv75eurs45oZDkgeA5lywPrwfQ313/s39/+yJeXffhfn9O5doc7pr9HXiK1mdNh+uoB38uAOqkU0+cO/zmaoyh3QWLEgTrGr4NyF0VSXXG/+JLMxSHYlFvEJ3Hg6zte7PvRoJytOnjR/4CR73XxlfEDdRHZY7gnye4zPSvWOaLvfkHdzXQSJPis7DHJuSR6SgmZZ2pMmOqWQgC13JL4yvHvFumIRmN6B90vTv5egdj0ne0f/+aGj/3Hyo9+5ZUPw+7PTpP5020s46cGvwe+u69hiD+9cH2kfoUfUL9XitHcewvTnvjJlMd/POnRH4158HvRqkGD3owdGi5+10VqOdwvWMTgEuRBrozul66LNGElR/GHMPq9o5Mnv2ZzACxYIF8ZtbEuAcGzKSZ7Cu4B2X3lY6rbL8z1mY50fcjlToh0LASU7GGRAWeqRz2lw3+eHNTomeoZUgi4lkNR5HKdJGBbNElAwHSLRggIHijYJRBbeWb4r5J+9pn3f2bUe+090k89/R74Lkx/LmJ6AccyBnV+QP1bKTudYCif+MgPxz/8g5EPfHeITuklkbzgiNx1kZq6X6YOGTLHPtOcxf3SjUwHpgnHy1s2P1fwyij5YWUA7hxKMj3Gegayd8hUD5huODYud0LsayEg450SOXGmOla59ZSmpn+JBjW2Y6oTArRlUxQTjpd98pvrM7vUTZqqhADlJtYH8QMRITWcUV87+peZH/jM6JjpQ97z6ZEx03XcywDTB9Q5pdnpoHzsQ98f/eD3ht/37af++PWHf/3Ve3/+Rdb7wcXvukgt3f0ijg7P/VKk7pfIpZ7b/dIJkZrveHn++S3meJk27Y1Jk2RYut81ar4gVnqkFqWzO5vaZzpqj+mupzQ01Y3LjtF5il0sBEC845IseT2lmOeWz3wGNTrZLgHdMiqKBtPLP4kFnRrRmGXeXU04QwiiJUUcGc64JTWc8XPPfuAfxr737556j6WAzZ5i+urCMN1SDur8gPq30hjN7R9+/7eH3vOtx3//Hw/+6sv3/eLf7vqZvOhvJYPQ1JR6xb8gIrWk+8Ve1DRfB0wEZ+261DshUoOPQJmjLFokzvQ5c2B6NMELW+MHzHoeMPa9i3RS56+8mI7aNdUtzxDZZ3qHsE40CwEEe5XInnO/LJn4m1RPqTeoMeP7R34K9hswLqOiaOUyScB3dugkAQmXelJszR0hEJHd0Jfo83Vz9LMYgz2mTxWmfyW208kP64N0OiRLOajzA+rfCpk++K5v/OW3X3vof75y/y+j+XLtjVAbZl5XV3imB+6X6dPF/WKfgrMRjZAObK1YUWD3C6nBSnOm8/zgKaKTdokznU08XcwRNH++DXext0YDWLerFM1NuZmOsmHdcttpU52tFnzw9VqRT+d+gd2g3DKfcVBjRlOdyG4hwFxSUZzytEkC2mV6R0Vq39v1iW/b0Bcbzjjvg/80UT51xCbCp0e+958m63uk+pGjb2782HeLBpg+oA4rBDQl4M+//uqf/vtL9/78iz7QjemHDxee6ffdN+rhhyc99dSzI0cuHD9+GWbyrFmr5s3boC5smSQL0oGt11+vKaypTlJQ0l4fXbQoNceLMZ1fHe5Ci2EzxGdNQOdOqyeZzkoLDnZ9ReTZmepA3N6QyDKoMZepbgsB6QJFEdT94iYJ+OGerO6XTovUbOiLDGd8+cNfWBANUWc9QZg+ST9ct0zmewH9Ob5zlKcs5aDOD6h/KwPTCeZ1CYBOcNOgF0qkds89Ix56aMITT8wYPvw5N09W+ojGwrvUSec1/eiodpDalACp2dLZ6sak26OFNT6Xu6I8mN5VrLNgwUdb3xLZdqb6ssm/xUJnzfyRmT8/ndtUt+UAdoGiCOWf/M6Oj4tLneXsLvVOi9S+u+Pj39rohr586F9s6MtT0k366RHvxWyXD0wv/hDQ/8a6j3V9iDq7E4I6P6D+rQyAphDc818Z5sslVFSkplcslEjwT38a99hj04cOnTdmjLnUo55Jc6kvW1YGwsylXiiskwgcBK88M+JBL+t9puuoylQeWBOgudPK7X7pItMtRHarYo5/Hdr6luRE4p7S9EGNmOr5Dmr0lwPe+Yq2lnuTBOThUu+oSM11k35thc4QkO5S/0eYPusD8p2jNz9Ci4GYXXSpW7JBnR9Q/1ZmQFMOkkC3EMTsukjTf6HU3tt89tl3Y5f6zqVLS2EZ2Cos04EghI2ZvkWZ/i6PEzZNSU2SvlnbCjJJus/lPBXjO6NCmjtlYzoiGxl7SlljAdJhvUYj/BRzrHRc61si52qqC7XTBjXGMzXm8/5R8G+APKdok00SsPFj3+tOl3rqbVJ1v/zzlPf//fCY6RPe9y8zP/DFFz701deF6dJNunOA6QPqmLIyPQiO7EHMros077lnhLrUZ40YEbnUQaqOCpdXN0EqpINcBXSpkwhYfPllGfQSD2SU+XWnTxemT5v2ZjwsPfXhC5/IHWF3NoUod8rfVOfXBQi+bNJvWFg26bcpF3M8ybiPtr4iO6lUT2k8/Yv/+ekOmer2LzZ4UqyPOKifPfqeThLgXOpB5IxyGM0tUqMdkHK/vPChf5nx/s+Mfi/rCf8w5r38K9+Yfu3D2PLC9K51k1qyhKDaD6gfKyujKQeBnb5793VZmYjZdZHsQw9NePzxGcOGLbBP8sev45uZXAI3QZi51AuCdVIgQRvIaEyH4I7pzzzzdjziRb5Ox5oEkTukkNq51S7T+bXgowqcgTYWxHqdIkx3WPdj9i2Rc87CTPUlE6PpXzDV0wY1eqa6nG8iheSaAMcm1gsHy6NJAljjXOp+tC6K1DC9v73l419f89HUiMYJMkEjmz498r2fnS7TA3xluQxn/OZG6SbFtM8/Dz7QETuaUz6o9gPqx8rFaIqChe4z0k2kfP/9Yx59dNrTT88bM+alSZOWx2/kpyYJgGXqfimMqU4KHtMj34tjOk+U+OgynpI1HnN9TDtq+ysLoIxMJxsWAkghWwn+WBDSTe4/proyXU31yb9d5AY1Jt8/ymKqE9n/19YEHDSxXjjoTxIQu9SDmF0Rqcmku9t0gsa3P/LlV9T9MvX90JxNhH+eIsMZv6SfJP3menWpq/slSCcfsZeMiNd5Y4JqP6B+rPYxLQVNQ7C+gCLxe+4Z/sgjUwYPnj1q1CJzqUNYdamLpRxPElCw0S+kACWN6en+dPlenY1ipJWwaNEO6yANmNvd8k11jm4hYFMgiTDtdwCOBUx1MAfgHNbb3b3Xipy7ntK0QY2RqS6DGvN5/yhYE+APsdKYzrKbJICVFvyYXRFJyTNj+8exwWUyr3iSgH8c/z47EAtY7v/20oew4uH+tzZ//Ds7BMpBOvmIvb5brLMRvPtRloOaP6D+qm4kdYdEmXvooQlPPjlz+HCZJMBc6vYO5wsvCFgLO/qF3TMxXca9sIlD20SMdmjWBMztVhnQOaiFgEfZJDGn/R78sWA9pbHdGpmu+SfVq0S2OQtjOviOBjWO0EGN2d4/as9UR6wMCIhYaVhnwQIrzfXhB3+XTogUZEQjqF3z0a+9KfPufmGemOqfGSWm+mdGv1e6SRfJF+xkhoBN6n7R0S9BOu1KDrRTP2w9wPS/JvUipt9//2gd0SiTBEye/JobTWgvlNrLR6/qfF4FZLo37kXGp2Ohs2nmzFVz565jZQ8zvRMod7JdIFrcU5puqvdZpiNyHrlfpvzvizqoce7wn8fvH0WDGgtrqgsKpX9S/B724o+MWy/6BGz1ER/snqfYUVzqW6N5d6P5vGaJV92S/edpMkPAl1/+8L+/I0z/9rZOul/YhTy7/lj+DSr/gPqlehHT77lnxCOPTFb3i41otMEnG2Crjn6R6dQLZaqzL0wnQW98+gYeIcZ0jksTgZU9xnQOYSFAT4cku7ueUhvU2O96Sjmv50dHPaU2U2NH3z9yYmUSgpFLfbcw9JsbxfUBVVkWtm75OCAG8dKJCtxLOgl34sso+O3ppvr8D352ejSo8R/Hvw/L/UtLZJS6uNS3yhG/r1kKksot4tMgiGZsXz7A9L8W9RamI8rcgw+OtxdKbY5GG/1iPaVqqkc9pV001dmRFJYvl7GMyvSdCxdutbkBZs5cyVYMdnuD9IUXirqV6aRsIcBN52TpQDRL0w1qjLCeBW29X2RbmR71lKYPavxVlkGNncE6/wrTY/cL5u031nz066vFccHCN9Z9DD5i9sJig7u9dOrDneAnmFESZ/cn0kz11z+Cqf652TJNoyWC2f5vL8kodaDPs4QD2VGCpHKL+OwoUxG8E32FgzVB/R9Q/1PvYrq5X55+eq6Ofnl1+vS3dEzhRvAam+qF6SllX9IhNdJ86SWZG2DBgo1z5qydOXMVm4C7dc/aQVkTsLiLIkELAWK6LknT6yntn4Ma42/aOVNdBzWmTPU8BzUiViY5aEyHhl997cP//tZHMJZZyQLw/fq7HwWyAvf1MdwB7jaFe0c8M2x1pjpPCxKPvmY35f227z9Nft8XF33oK6/KxC/mUpeHR0cGNSIis6N7v4n0WRPU/wH1P/Uuppv7RefzWqSfpFgBZOfNW28D1f1BjV031WOm73bzMs6du27WrHfZFDN9m/P5sHJ5/Km5zsnv+QzIUkBZ4nFPqQ1qFKY707Vbj959ItvK9PYHNXqmepiC/68T6wMORu4X7Zb0A4j/2gpBPGYvJjz2+zfWCtzFRWOeGeBunpl0491P3yQrfVN9lZjqFtneP/rMqPd+fo5M5sXheITw2LCthCCpHCJyNGhSnxk2aJKVAQIG1M/Ui5iOKHDmftGXj2Q+r2ei6dSNsDao0XpKu2Sqs6MxnQR5VMB0Hhtz58rQFzYp02WKXY5ojQNW8ixJV4TpPJTveMSuyw4B0aynNBzU2GeZjsg5zyphuk7/khjUmP7+UXy+QQrBGsTKgIPmfvl+qUAZS/mrr30EseyCrHz9I1974yPYv2nG+waBe56eGZZlUKOOU7TwpcUfspka7V/4a+4X+1dSK+6YV52Y5IQHDw8Gmdp3ftQOCBAwoH6mXsd0c78MGTJXp1NfrpOYS09pxkGNxA9gnafYkQfDK6/A9FLSJGXSt25SNsVMl+/VZWd6+2IvCwFHulVyuGnCPhb86V8Uc32c6alBjb+xQY2E5KBGxXq+pjorAw7yC9Ml6UGDMMwxohHL4BuIg3LbZCGC+1sf+Y904z3ldo89M9Kt6nlmXMDAl55Sfaf0X5//4OdmfcDWm2/9K6/Iy0c8MGz0S4e86sRMJb74Q5+f+wGZ2neYdMMGFBhQf1KvY7rO/SLuF5v7ZUr8Nbt4UGNkqnfR/cJepEA6y5aVQm0b+jJ/vrjU2eT5043p5nsJkZ1NRLYQ4KNnZMeFaCxAuv45qHHyb+E4/0aDGsVU10GN8v5RAUx1go1otGWCjX7BEgevUBJ8//s7MmTFtlqIPDNvJzwzmzN7Zr5XrC71TR/D0mdfTOkvLhKX92enR171z057/7+9KKY6CUZe9bxNdeKQPs8VcmKfyvv8nA/808QBpvd/9Tqm33XX0AcfHPfEEzN0oPoS6yk1w1kHjKd6SrtiqrNXzHQ39GWbudTZNHv2Wp/pxGFlAO6kiGMhQEbPizxANMDHQn8d1AjBbVDjfJmp8b+TgxqtddI5Ux2g/6BCPnvEMjC1geosswBYsb7BNLAG2YAbIosJ/1Y63wXukWcmNWbGHxCpXpdvb07507+8TIYb2ugUaC6pDBqU8qrb1Lt5D4AhDnm2BwaJ82z43GwZAg/Tbbr2AAQD6jfqXUxHlDbnfhk16oUJE17Rj/ev0ndK5ZNDL0UftOtSTym78EggEWxwDH/rJiX9efPWswlrPe4jbZ/pbLIQkOIOSjLj3ikVU72fDmqMe0qB+wveoMb4/aPU+QaJJNcENDSm8yupZw8x32WexYjvq9WEfzuN79k8M2wC6GL1vxP1kX75ZcH6Fxd+8HPPik3NsgyAWShTevF4IDKHg9T5mOpEoE3AgTjuV3QCyM/NkhkIBpje79UbmX7vvTb17rPDhz/vvnxknHWDGnX6l873lLJLzPSUS512AIdgU9wrGx2LRwgWPet7OcqdLFcQrX/2lKqpDriBeDiosRCmOsvG9B9WivsFjH6/9BMiJen3dolb3MS/Lnxnh3hXMKUxjQMXTRRDgzdmRtZLnJVpEeDvl5ZIZ+lnn4lMdRmrvljHqsdTBXw3j6kCiECWolllln/4i4s++C8zZfz7ANP7vXoj0+++e5iNfhk6dP6YMYsnTlxuH562QY0Y1H5PKaY6uwTIblfswo6k4LnU09wv7vmhx4LpUTcpvxYCKPQ2SQ5TPaW/BnNmtxrjen/+s4mcK9MjU32R6yn1BjViqrNVsZ7BVCey/6+JlQEQf7jnkz+sks8eCdN3w/TIFeMz3RebXACm30nnu7y7pC6aKEYcjPjY6fK7Sgz2r735EUHwCzoHr5rq/zjhfSD+y8tksLx0ltorSHpEP8+B2Ar9OTqHsBeO/mXG+/9hjDL9SWE6IWDBgPqHeo7pVoyClRlFtPvvH/3oo9OGDJk7cuSi8eNtoLrMq2U9pfDX6yntjKlOfJjO7mBa3yb13S8b2GpMt/dIORZrLAQs6LWyrEI0FszRDONipvd9Uz1muj+oMfP7R3bKiRSSawIgYqT/qPr/YJ5jfUNzLPfcTPdFND9kc9FEmzUI9239ShmmAsHNsW7hs9PfD+XNA0MiPDBs+Lyf50BsFaZ7LxyRyGdGC9P/7+MDTO/P6jmmNzQ0VFVFX1kLNgUigu9+GTt2yeTJr9qUXvrKfjSoERZ3paeUXTz3y251v0SjX9gUM30HyxIzHQF9QmQbnEE3FqJBjQo4YVx/6SnlWYWFzhpCzkGN7ZjqrAmAaEy3+dPBtHSZ6oh1n915ir1cSLpoWCljY/TFJSO+me2Ezz37ASxrFqIZYJbqd0rXR1511vt5DsRWDkT67oWjz05Tpg8dYHo/V88xvbGxcd++fVu3bl2+fDnlKdjqi63p7peX3IzqOqgx6in1p39hlwDZ7Ypd0t0vJZj/ixZtI302uRBU/j4kyTwE155SSNefekrJv3O/xIMa/8t7/0gHNXbEVOffAIg/rPrkj2r+D2RnGS7/cE+03od1J0QKLjgXDcvw1y0TbLj6F+ZF7pdPj9Bv2r3woa++Jt8/Eq96e+4XNoF+nhA8BqIXjnQ63wGm93v1HNOPHDlSVla2Zs2aJUuWUJ6CrYGIYF8+it0vbkovN8rQDWoslPtlF88JVlrwK3wflZ0FOANwLC+dmHK/COP606BG7Sm1QY0vZh3UmMtU51/xmMfiX2j+473/B7LLpt2fYKFD7pd8RFLJAK+/sdabAWba+z+tkzX+06TYq27fP2rP/cImnhDfcC8czZMXjmD6p54eYHo/V88xHSN9+/btb7zxxvz58ydPnkyRCiL4YmvgfnFTennvlLpBjZ3pKSX+ihUwvdq+xG/Br+f9QJwROANtLMigxvibdo5xffSU7bycqZ42qHGsDGpMN9UzMN0S8ZczMh1TXTcp07vgfmlXkmyJTBXwrc3qMNGOTRus8hl1v3xm9Hs/9+wH7BWkr3ufnw5QbpLUki8cTVKmDxlgej9XzzF9586da9euxUifPn362LFjKVJBBF9szeJ+ka9VLIhn312ypPM9pVKo4+Dqdj+TnNo0MdUx0lkOe0r7hakOuIH4AjeoUd8/Cgc1xk2TIIXg3zSm7xGmI10vTIfyES4TRC6ISBlMY1xjhtugcggOi1lv4Z+n6LcyXonGqktPaRb3CyszvHA0UZj+d4MHmN7P1XNMX7ly5SuvvDJv3rzx48ePHj2aIhVECESEBx7I7X6JXgiKe0rzNdWlOGvwq3R/FacJzqAbC9ZTanarMk5c7UH8viI7L3O/0P7wBzXm+f4RkYN/A6ZjpP94vzK9TPpLC+VSzyZStuHw8Frs63j2LvkC9Qgx1f9h3PtAc/Sp0rXy1lK2nlJWpl440u8oYeP/43hl+pN/M8D0/q2eYzqaM2fO5MmThw8fTnkKNiVFnHvvHdme+6Vk6VJ5ISifnlIpxRq0eodVur9KThOCp3pK+5ep7g1qnJ/PoMbspjrLAdMx0n+iTP9BufaX9gDTi2XoJAsWpJt0vrx85Cbg/ez09//r8x/8Cqb6KjXV9bt6Ps1NrPS/cCQ+HH2J9NMj3/t/n4iYbr8BDgbUD9SjTEfDhg0bPFh4HaxPijh33z08p/sl+k5p7p5S1liI6nZssrHG1ef+Lc6UU7ae0sSgxn5iqmce1Kgna6Z6uz2lLGdlekU0BsZwGbC4gCJxgnaTxuNV9IXSfxwno1/+fth7/mny+z4/9wOw3vWUst6nuYmV34Hp62VYpHvhSJg+4r2gfIDp/Vt5sZUQrOyK8k+NmBndLzbH1vPxPAHLlpUle0ol0xqkAa7G2l850zl9FtRU79eDGodlG9ToHmOJRNKBHjG98pM/3hcxPRoD0yNMx/Q2psu7Qjr0RXA88X1/P1Q/VTrhfdZT+rUV0axeGUe/WDowPfXCEQ8GnexlAOj9Xu3j9fjx47t3Ry9SBpu6Wxwx6X555pnI/eJePrL5WJz7xQLwokpjvgVMd65V4vh1ux9LzlRxFvWUYr2mDWrsD6Y6Z7RkYjT9y/yRv0i+f+Q/zoMU7DfJ9J8ciJj+oyrh+w+reoTpOyKm/8fKj37ZTOyZMmQlcqmPkYHq/7rwg195NRqontGlzprwhaPpyvR4cPoA0/ux2sH06dOnjx07Vlpaunq1fAAo2Nrd4oj33JPV/eKmafTf3acyY6PZIOWI6bGl5jNd6nZcn/8axJlyylwHFv56BjWmJlXPbqpbfELI9KpP/uTg30ZM185SmSogP6ZLcukhiJBNxJTxKjqc0Ya+fHGRztGowxDZ+umR7/3nqTr65eV49IvO2esD3TKZfOHoH8a9zw1OH2B6PxZ3Nhep7eXPbdu2rVix4vnnn88dueDicHfdNTST+2WlfbZCcq9hztD/mjf85wtG/uL50cr0cf+j9VnMtAGmIzlTPWu9WmmDGuVS9PWeUrCuTOdBbtO/2KDGDO8fRecb3X2CWwiYDsH/8/Df/uSgMN0c6zJVQB5MJ4LLmxMr293RRDTBsTL9q6995Is6DFFeF9JuUnGpT1SXus0TsFbmCWB9Bqb7Xzia94F/niITeH0qHsg4wPR+LO5sLkwfPXq0vLzcxpXPnDkzd+TuEEdU94t8+Uin3o3mfpF8Dxo0+dEfTXviJzMG/3T20P83N2K6DHtQpusg5dhMi8e0pRlrpBDUvX4sTpazxkJnwXpKvUvRT3pKOTs3qFGe7jqoUUz19EGNFsFPgRAwHY7/55G//c9DfyvL+/4PcMdatxnVAwo7SSrZL6NtDXZJijjf2aZDVvTjR/a6EESG6Z8aIi51GdH4rMy+Ky71NR+16QQCoCdfOPpnfSr83VMDHaT9X9zZdjC9adMmjPT58+dPmTKl3cgFF0e8557hDz0UuV8kuxpGPvDdsX/+/sS//HDq4z+Z8dRPn336Z3OH/df8Eb94btQvxf0yTrrIxEYTpqcGP6Qz/a/IpY44WWWfnDVXxh/UqFdDIgS79BXJqfmDGkfEgxrHaE9pbKqz0oLd/SCFgOmEnx77W0x1FjDSf3Lob8VOb4/pfpqB2EoOc+xuIoK41DfKEHXxnMisL+o5wcp+WpgOmj/7zPu/uCie+0W/rREwPfnCkU0M4AanDzC9H0te1+TuBiT19frrr7/44otTp05t9+XP7hBHtBxa+Mtvv/bEH77+9D3fHHH/d8Y89L0Jj/xwymM/fubJ/5w15Gdzhv3XvBHydcoMLvW4m/SvmemI8+XEoTkLZqpbt2Ffvxp2Xmaqc7tTgxplUnUx1e1fKwDZekp9oP9wj3SQ6k4SpLNUmR5ZwQkQI4vppxmIrRya32DHQESQ14U2y1Qt//7WR7609MPiDZ/2fvmchQ59+fSI98oLpQuijx9JN2n60BdJAab7XzhSj/zAQMa/Eg26776R3N2ApL6w0KdNmzZq1KihQ4fmjllwcTgLd/3sC/f+/IsP/urLj/zmq4///j8G3/WN4fd9e/SD3xv/8A8mP/qj6U/+ZKa6X5xL3dwvWZnu1WoS9yte/xYny4mbtaim+m+X+6Z6X74a5Jw7y6lxo/1BjSwQ0t8/is837iklggN6xHTtIMVO/+lRsdP/89Df8u+PqoTyAYKd2OQyk03EsRDsG4gI4jmJmK49nMZ0/Tw0ZP/HCeJSl/m83pFu0mDiF5a/W+S9cLRQXjj6p4nv+/RwcaYPML3fa9ADD+RrfecZreviQBb+8NPP2+8ff/qFe/7riw/895ce/vVXH/vdvz/1x28Mvfdbo/703XF//v6kv6hLXdwv/2/u8P+aD9Ol0S1D2Vy7O72bNGJ6X6dYJyQnqyfuDWrsh6Y6D3KbqZEQvH+kBSA01YkWMF06SA8p02OXuqzUORoD/posgstMNhGH4sdvsHsgInhMVztdfS9/rxM0/v3T72H5c7NkkgAifGNdPPTFy7+8cATT3QtHM99vX5ceYPpfgwY99NCEu+/O62X9HhDZkJz89PNOtgam3/3//vX+X/7bQ//zlUf/92tPmvvlge+Mfej7Ex/54ZTHf/zMU5H7Zb5zv6S51LMwvS87kTsnzpcTB+Us9NdBjSy7kM+gRqI5IBoTf1QjHaTOSJcBMLErJuCvE5v8/GRT7kRMRHBMl9HlNvV5zPRPPf2ez4yOplOXoS8w3WYI8JluLxy981H3wtE/jHsfDwMH9AGm92MNeuSRKe26X7pbHN2CT3Mn1sP0u372hft+/v+z9x5gdxRXgvZlZ2d3dmZ2/91Zk4OJ9s7MhhlMMsaYYDISAiUQ0QYbk6MIyhEllLOQECByxkQbkx1wxNhksAFjbDA2GGwykv73nFNVXV3dfb/75aBbz3nu07dvdXVVd/Xb5546dWovMb98bb+R3zhg3KkHZ+aXEYMXjD588bhhwfwigZx0JqGZX/JMd2pa/EjHT13fFmksbVdtkcSfGK5J33jJWYtIvLG472Z4kc5QOv8o/xoLQDQmDnl6G4DumP4rYfqQZyXeC18T/gbhp7gyVUI2zl6nHIRfzRMxx3Rddo6fPjdufQv8sucqF8yrhOmFCUc7T8+i7DaB3relNmLEgsbNLx0rnNRSAvFEyADTzfxy9nF7n3eCml9OOWji6f2d+cV7NKr5JefR6JkuD3OpO6M9ZvFT1+eF9tJ2NHQ2rk2Xn+4D5hdnVc85NcZB1eemqjp5AhCNiRA8M6bD9F9vO+SZbB27UuGnpD5VQs465SD8ajOGBMo3CJR3ne+WKOIn0Lzj5A2+MF9mk+6r7owQnP1x/ZMJR2RuOqevO1IbPXrJuefOPO20rjO/cCJLCburxDJ788vew8X8sv/okw8cf1q/i8z8Ih6NYn6JPRq9SZ0nWU3q5a4v7hmLH7k+L7TX2MeGaa9clj6jqtMQYzq3nrc7e6wzxE6N1g18e+U6xEC0qAAp059ul3N6LHUKMSFDwnRZSjRm+qT10dz3uHyTfW/Z/MBvlzE9v8KRqflN5/R1RGrjxl2i5pcp3OYEvh0unELOUqB2i8JRzvxyjJhfxKPRzC9nHjLtnENnnj9w7oghC4oejWUm9SLT7TELj9y6ILSX5vdtp0buOH2APaQ6QdX5NdDQgDjoiW2c08uvPdNf2HawLniUwDcWfiUl9SmV+uUgZMiY7m0vO17k/NNh+g4T17f1MSzqi5tKGjVBzPHxhKO58kpoOqevI1KbMOHSkSMXdqr5hZItJaRuXDhWzC/q0Xj2cV8+74R9R54oHo0TzxDzy8XnDTTzS+LRWGpSbzIdob00n6vBBteHi8O2XRO5LL35glBz7i/N4XZfJfOPjmaPqOouUmPs1ChN5tdAQwOiRQVwTi+qpIsj45MtMB0hAympT1EaKccp2mI82UzmHM2VVUmhOT8J0ydI0F309yLT2Rjwo636PbRlMuFIIqc3nV7WDalNnnz5mDFLO8P8QmmWEkC3VlwpYH3Yl049ao+zjt17+PFifhlz8oETTu9XmFDqPRqnyjTCxKReYHrmzRYeuXVBpL16BdBb2TY/v76nqtMuugF7Lp0cjZTmnRr5NQDdmGhRAWLDy9DnJNAuXxP4FoU8pKRKsTRYiIyRfluNJ9duuvtygTK6+efGOqajsMuS05cq079dYLpOItVwMc0JR+ui1KZMuXLcuOUXXNBh5hcKsZSguW0SymFDzS97nHHMXud+Vc0v1RNKg0fjVWJ+iUzq0Z9ug1f8sIXtdUFoL1eAC8KGqeqmt4bL0ksviFQ7Gim9coZEauQ1b8PmqqrHf9rKmP5Mq51egpDHUlIrE/Yn+UuFbGI80XgvYhDX5aHRzbcfIyzefqwo7J+flTE9tqezMeDRrQ4Ok0hXbfLFJbIS6Q7NCUfrjNSmT79m4sSVI0cuPPvsdplfONZSwHH7JS6N7dj8kp9QKuaX4oTS2KPRGVL9k2w66TrOdJpviiqpr42UqqrOG4vXOW939lQ5NfJTDHSJCpA4vcD0lpxeEiFnaUqyVQk5jeliPLnaLQ+Nbr79aGX6mE+B9V1mRkyPfBnZcBOO7tYJR1dI+PXmhKN1SmoXX3z95MlXjBmzdPjwWW0zv3CIHBWxuEMkKdPOAtNPc+aX4oTSQeUejWUm9SLTjQXx1z4vtJeLwDVhoy87NeaDql8TzT9iZwC6AVGdXqKoAMr0wS05vZQK+S0l+1sUDoHpB8D0WzYTg7guD41uvv0oZfqoTwF3KO/s6UWm5ycc2ap1qPkB6E2m922pzZ5909SpV6n5ZV6rzC/ktBSTt6OktFh2Oo9GMb/sc0GYUHrmIdPPPbQwoTTzaPRMLzOp51kQf+3zQnuNfWyY9trXVHVlOk0zp0Y+pT/Y/zbtDOwMQDcgDn7CRwUITNfoXWwn5O084VxtSKEJbsKRLn0nfpA6iZRXQlNJX0ekNmfOLdOnX9u4+YUMlhLgdqBUFc5+59HoJ5Q6j8bSCaV5j0YzqddnurEg2dO3hfZyEWKnxr6lqqtT45zMqTEJqs6eAHQDokQF+FVOSdfoXa1W0tsjnEuiKt7tDOK7Ld44njG0/ZhPAWjxZbx8k31vlXmkA6J4L2wEP8hswtH0DbZvTjhaZ6Q2b943Z868ITK/TOaWJxxH2Gkp4WyHS51TWAUkRmM0oVQ8GgsTSpeNL/FodCb1ZJi0wIJkT98W2stF4IKwwSUC7jlVvTdfEGlaNv+oPKg6ewLQDYgSFSB2etFILw06vXSUcC4XgesmNYgv0gUxIqbvMGH9XedvBO73u03ivbAzbkLmB+ljr8uEo6Zz+jojtQUL7jDzy/jx5eYXvsqeAmE7Q1o8ERnEozE/oXRC1YRS59EYm1+iYVJvYSiyINnTh0Uaq9eBFx7bfVVVB9+83dlDCkHVrcmBhgZEcXpJBkgbdnrpKOFcMH3/Oze3qIpfWKgzhiKm7zhp/S8s2GivqySG18H3lzDdVq3b6xrxg7QJR/8+qsn0dUVqixbdFZlfFp199gxueVcq5kEaORd5zKQuHo02ofQkMb+IR2MyoXRCLkajMT0yvzSZ7oT2ch1Sp0a9PjaG3EsviFQ7Ginlvc4eC6oe5h+xJ6ahLYWRMv3p1jm9tFM4kTiu3K+TSGH6ZRKBa8eLYqavz1eUd5BNnoMfzJjOhkw4skmkOuFI/CCbE47WMaktWfItM79cdNEVY8Ys435bOv3oPflMkNp50uC5tGq1U47cI/FonHhG/6kVE0qDR2Ma7sNhK2UBwimSPX1YpLG83uadaIxDe03eeb33alBzmmCqOm90aM4e6RL6143tAHQDYrIURpwS8naecK5Dvu+jKvoAXjtOjpg+VmLtfnHJxntfuym6fL+H8kwPq9bZhKNlzQlH65zUli27d8GCO7jNlqafe9iE0/uNOHH/s47dm68JUjtJWnUiMp8iHo17mkejTigVj8ZoQukQN6F04lFqUs88Gs2kbkw3bJUyHeEsyZ4+LDSWS8Hbjo1iUPXeeymsXUFV59XOHpI5NbIRgG5AdEth+AlHw36z3bCXtzv8+e3kGJ8SBHe4cApxXNGoii7YiwYGiJkua2Isk3WODrjLr0camJ6bcLQp6G+ucLSuCfdXEuwDggtGHz7z/IGTzzxk9MkHnvvVfdif8LQzpA1n4ZDTjvIejV/LPBrDhNIQz8s8GsNkk6JJvcl0hMYa+9i4+uK+6NQo84/UqTFS1dkIQDcgxkthDHtlu6N+/5mv/O5/D3vxM3wd+tR2Q57YdvAv3MoYlhIcd4hQrDiuWFTF62SQ0wIDbO+jKgrTZ2y4+yUbo8XD7v6PVEw4svFVm3CkzulNpq8jIpNNrprxFcAHAVFv51w4eOrZA8adevD5X9vvDG9+4dNSDNYOkTaUefIRX+IoMambR+MJ8RIZbkJpbH5xJnU/LzwxqSdMvzXa5ixhu88LjeVq8MJjoy/PP4qcGvkMQDcgxkthHPm77Y5+/TPnvrn7+D8ezNczfrPb11/83NEv/MsRz35m6NPbDXlyu8G/7BT7DOWkwV4sMIBNIh39qc/ZJNIVssa0BPDKBwbIJhzZqnU64ehzusJRk+nriMikcGAH9cAfuu28kUOnDz9s4un9R554wFnHOfMLn6Szj/uyfe0oaUNpEh7AM11N6n6F0lNyE0rjeF5qfpFVp0tM6sYs//wD9Fg4S/ipzwuN5VJwWdgQI1XfdWqkP7DHbOsB6AbEeCmMY974zLFvfnbMX/a78v3T+br4reNn/XHY5NcPHfW7A855ZY+TX9r5K7/6v0c895nDn/kMKjx8H/R4x6jwHOsGOX2k3M/PSpkuAbyqJpF+T5l+p9jiw6p1wQ+yCfR1QWqoZjzDII++jmKr5pdBk886ZMzJBwXzi/UDPu1rR0lrSzOgG9NJp5tJPVoiQ1coLZlQGladdib12eKlXjSpJ0xHOEtAQ98WaSn4ntfHnRqvn32CWV0sxUBPlsI49q3PfuWd/zX6vX2u+vgMvj64esbdH024+f0Lr/rLmcv/fOL8Px07/Q9Dxv2+3/m//fLpL3/ha7/e/qjn/9n43k4TDfmzYC8aKdcZTywwgDF9zoZuwtG9uQWm2UBtt/FVCdLrV63jqCbT1x2p8ejyAMM7wCfml7Fqfjnn0PGnHXzB1/Y745i96AShH9h2gtq2SRvKCUw3rJ921J6FJTLiCaVDyyaUJkECMqZnKF+YbRsRAh36ttBSrkZQ1fuMUyNCzYP5ha5uQdUD0I2GzulFbS9HvfaZ497+7PHv/suJ7/0bP12y+mtXrT7jljUXfmvNxEfWznxw9fRvfTTxtvdHXffuuZe9feriN4+f9cawya8dOurV/c/+zZdOenGn4174v4c7E822rTXRkMFHylWma7CXHNPHyyJHe17hJhwNeFQOCa2wSaTZhKP5sjh10zl9nZIaHT0zv0x25pcZww+beEb/kd844Gw1v4R+YNsJatsgbSgkA/owEUowk3pxiYyKFUqDST01vxSYflKMdU4U06EPi7RUVfXg1HjD3FhV791MpwmmqtOuyzWoegC60dAthaFKelWa+8mR8P3K1WfcvOaCe9ZMeHjtxQ+snnbPRxNufX8kfL/indMueevr8/54zLTXB4/73cHnv7L36S994YRfbX/ks/8c+N6iiYadFhjAOSMu2The8h+m7zBRJhzx037fLJ9wlK1at1xXrWtOOFrHhFtcu17jHMXml1nnD7rorEPGnHLQcDW/WHK52830NpQQ0zwI5Zx+9J5nHRctkRFNKHXml/FqfslPKI3NL04PzYBuTFese7JzohgQfVhoKVeDFx4bRVW9914HqXk0UmpB1QMKjYaDo6UwjvvzZ09471+Hf/jF+Z8cxddpnwwc9fG+5378RbZDmvPJsGWrT7hy9enw/e41Ex5aO+P+1VPv/mj8Le+PuPbdcy5/59Rlb30Nvs/4w9BJvx8w8rf7n/3yl0769U7HPf9/hO9PbTv4iW0HlZlo2HCOKyHYy3RZtS4wfcfJOuHoap1w9EDK9MQWv+tcnXDUZPq6JNziyPwy9djlZn4ZUW5+sY0EuK2SNhxeCvRTlOmnHbXnmcc6j8ZRJx0YTyitjudVZn7RJ1+ZbkDPYd1BIWJEXxWaqfqs4JuUjpT2EafGr187MzeD1GgYlsI48tXtjvvz/zrh3X+94MM9Fn4iA6pXrT3j0jXfmLv6yMmfHHLBx3td+PHeIz4Wf4E4LV19/KrVp9205vy714x/cO2M+1ZPueujcTe/f+E175592TunLH3rhLl/PHr6H4ZM/P0ho367/7kv73nai7ue8MK/H/nM/yrle1WC6ejdgB41XCYcJZNIw4SjsGrd7KZz+jon3OKc+eVSNb/MHyXml0nO/JJ234S5jUvbjk2YDs1NrDJmUo8nlLZsfsl5vzha8dgHmt+mkpF9nWE6Qku5IGjobFw7y+YfOabL5e71THeqOl8P+9lWgYbxUhhiTH/rn7/21/8z8gPp+XM/PGrhR8ct/eT45atPvGzNycvWnDBz9dBxnxw0+pP9xnyy/9hPDhj3yYHjPzmInHG6YvWpN64576414x5cO/07qy+686OxN71/wdXvnrXynZOXvHX8nD8eNe0Pgyf8vv/I3+53zst7nPri57/2wvbHPPuvHDjwsW0O+d5WB94rXN7zyk1FT5/hHMz5VZg+bYMvLt147+s2LZ1wJHabeNU69ZlpMn2dEnHz4jaXmF8uGHTRWQOg5PDjM/MLKQFu49K2Y2OgB5oHocycR6ObUJqL55U3v7gVShPzS2ZSj5ieYV1/4lwxI/qq0Exhn46UhvlHbNt+yxDn70UiTVCms6FAd8JXcXrRqABsk45987Mn/vXfLnxfBpMmvNtv8nuHTvtg0MwPD5/z0ZELPjl2yeqvXrLm6wvXHDdt9cDxqw+esLrfxNX9Jq3uP3n1IRetHjBl9aFTVx9m5YR0w5rhd64Z+8DaafeunnzHR2NufP/8q/565qXvnLT4ra/O/uORU/8waPzv+4347b7kPPmZXVC3D77/0xKE62odI52xYTbhaPSndp6xgUw4un6zA+5OJxwN+MGWMonU7DZXbLLbEvGZaTqnr2vimF40v8wdMWSamF/6XfD1/c5U80tC21ZJ2w4PQE9QHoRiZULpsXvbEhmyQmnO/CITShdrPK8y80t+QmkZ0z3W1yELjLRRR0rNqdFSUNV7u1VdXlduvboc091SGGpMR0/nM6Sz3959+Dt7XfjXfUa/e8C49w6e9MGAqR8OnPHR0NmfDJu/+phFa74yd81Rk9cMuGjNoVPWHDZ1zcBpawZNXzN4xpohM9cMnbXm8NlrjpizZpgry6c71oy5f+3Ub6+edPtHo294/7wr/3rGine+segtsfKPfvGgQ3+8db8Ht9zvdmX6ErGnB4M4cN/l4g13X7Hxl2/UCUf51aXdJNK7dNW6MOFIndObTF93xDEdtJWYX84bOOmM/qO8+SUBbuPStmPra+he9qBwb36RCaWZ+cXH8+L9JCb1evG8HNORItNjrHOuAIg+LDQzJB0pzazqMN0yxPl7kVBz6/Ap06OlMI787XbHvf4vX3n9f5/wmjgynvj7HU/+w86n/XHXM9/84jl//tJ5yvdR7+0/9oODJn54yJSPDpv+yZBZq4+Yt+boi9ccbjS/eM3QmWsOn7XmiNlrhs1dc+S8NUfNX3P0gjXHLFxz7KI1xy1e48LOhATfv7V64m0fjWJ7+It7DfzpNoHp6No7T5MIXPzEJ0yX1aVX6iTSwurSbhJpfsJR0PH5bDJ9XRDp4tbLzfwC8lZOEfPLQjW/AEc1v8i/QlKC3UakbUc1APQ9RI4UppebX3w8r4VJOPXpZeYXoZU88zmgL1LR7XUK69JGNT2bUyP/aXj5Rap6L2e6/tVImB6iAkB2vpKOfPGzfB713L8c+8L/+eqv/+2El7Y/8Tc7nvzbXU77/RfOfP2L57yxx3l/2vvCt/YZ+fb+Y/560Pj3+qO/T/loIHwXmq8dNnvtkXPWHjV37dHz1h6zYO2xC9cet2jtcYvXfmXJ2q8uXXv8srUnXLL2a8vXfn3F2hMvXSu1SlK/h7bc/w4Z59xt8cYWKZedaOvC9Dkbwut9b9nsoHtLJpG6gI62at2CjeR90HR6WcdE/lYj3Oyc+WXSUYvN/HLuoSDywq/v3zbzSxsOMQlML6AccTQ34RSks7z5JYvnFYVTLzO/SOyXovdLCdPXVaxzQbg4bKiq3qecGvlMme6XwkAkFqMne0jDnvjno5/638c++3+/+vy/nfCrz5344o4nv7zLqa/sesaru531+y+d+4c9z//jly98c99Rfz5gzDsHjf9rv4nvDbjog8Mu+uiwKZ8MRItfsPrYZWu+dtnaU69ce8ZVa8+8eu1Z16w9+9q151y39tzr1w6/Ye15N649n7NM+uMAO11IcHkHdVxhGzrLqnXzNtrjCr9q3aM5pmcTjvyqdTtNbTJ9nZOM6XnzyzHotvNHDb34vIGTzuw/6qQDz/lKq80vrc0fpBroOZqf6oUTFc0vcTj1xs0vZlLPAX2dxDoN5IJYxyDxnyZcJcV6L74C1qIY6PFSGPL5sq4r/ZQ4F8bZkiSUf9oo/+9fy1H+iwnlR79z4Ji/HjjmvQPHfHDghA/7T/1o0KyPhi38+LhLPvn65Z+ces3qs29ac8Eda2QVmhmvHf7VJ/99wA+2PvDbW9hZLAWm7zBhfUgtq9ZVTTj6jg/+tUImHDWd09dBcUy3pzeYX9Bnxfwy5vDZZn459eDzWml+aTxnIhVAL6d5YDqpYH7Jwqk3ZH4J3i8R07+56GSVPNY9GgIm+qTQQPDN9WGD9x99I2J671bVA6kN1s7pRY3pwvSXth0K05/MMb0o/JqkYU8K5Y8ro/zZrwnlh/9xr+Fv7jX8rb2Gv73XeX/Z67x39xr13v4T3us/7f1Bsz84khJmv3rMyb/4Qn81vOx9jTiYW8mWhOmT1v/CQr9qXWHCkQR0vHeL/W7TVetkwpEEXm8yfV0T7nKV+eVoMb+MHDI9mF+ObdT80mC2ogSg55leSXPktKNEOGOJ+UXCqbdgfqmvqnumiyRY54wxKfqe0EAuiHmJBKdGM78o1nvrFaDah/10KyeK5rAURph2BOJtXekY4i0K+ZN05JP/kqf8Tkr5z5/66q6n/n7XU1/f9bQ3dj3tT7ue9tauZD7l9c+f9PwuX//pLgfd++l9btGVSBe45aGtNOgsq9Yt3thNIi1OOMoH/7LA602mr2vCXc6p6mp+OT4xv8BHQNmg+aWRPFVSUNLr0RwxoJ92lMR5b5X5RVT1aOWjKlU9Zvo6ivV5J9Il2OgzQdWpdsb0nyrT/VIYYoF5cVu22bB1pbOcBYI3IpSQpJjyx//q349/8d+Pf/nfT3jl3/npmOf/z5Cffbb/g1vtf6cYxFG0d5klkV5ipu80RSccXbvp/ndtUbpqXTLhSJzTm0xfx4S7XGl+QbEV88uFg6foKhnnndCy+aX+r/WlzUBHTtflOxryfpmci/1SPlKaYT3H9IB1YfpCoQMp5kUfE1rHBeHKsCHvvz7h1EidM1Ir04N6zrYl9ti60nHORqVA9lis/DgNe/Kfhz39z2wM/Mm2ISLjnleIJyJK+ufGyQpH/AqRofPO0zbYfZlOIr27YhKpCxQjju0y4ajpnL7uiQyNcqcD06EbqquZX9BqvfnlsIm6SOmZdRcprfNTi1IA+pfq0FwkD3RjuplfLmzQ+0VHSg1VsarusF6hqiOGdU4n6O+dXGtQpGlo5eLUWBpUvdcznW3YHZbCMG398Bcc3EO2TpFqypcmx/QZG+6+vO6qdXeFVesy5/Qm09cpyTHdsJ6ZX3SR0vmjhoLFFs0vVfsbkQD0jOkJwQuSAB2xlfbE/PK1yslHUeyXbKS0RFWfX09VR8A65zILjGEipkZfEprGBeHisMG1SpwaLUOcv4cLtY3Byle3FIZ5vKi2DtOHPK0DpFHOzhZOJyOc31ZruI5wfn7OhqanByLDdFu1rnwS6feF6TLhyE8iTZzTm0xfR0QUc+50zHSU1muD+WWiM79MPUcXKa02v5TubEQ6CugWP7KF2C9+5aPcSGleVXdYL1XVF6ssOpkTyU/esG6wCODoS0K7uBrWMUj8h9Or1FtVdWqbkFSWwvBRAYzpQ5/3joxRzs4WTpeNcF7tQiruNGUDM57wK5/bj/6UW7Xups0OLJtwJJNI7/CTSHV8tWlMXwdFCN6C+UVWyRgii5Se0R9WnlVmfinuaVwC0x3Qh6UETyQDume6Ad2EmsShdyed2T+J/ZKOlDakqnusK9M5BdtmgQlYZ2eCjz4jNI0LQj9hQ1R1Mb/4pVx720gptU1IGi+FcYSNlMJ0c2SMcna2cLowwmnLG31+loQ+j2f2bz92/V3nbuQmkX6nfNW6/W7XSaQ64ajpnL5uSs1Yxv02phvW0Vt5eld588sCNb+g844++UCISYYYysnXVknHAt0mu6r3iw+9e3qZ+SUL0+hVdV38yFT1DOtqLjesO6Yr1jmFbUdY78uGddrF1bCOwbXiQnGJzPyiWO9NDaeqCUklKgAof2lbsap3E9M5l3itRCOcFlJxx8mRI+NIXbVuvp9EWli1Lk6yat28jXaclDHdUvLwN6VPiuC7AfPLEWp+kVUyzj9hP+0ejuNhow1SAHoLVpdyoB+dAd086Em28pFbePrM/MpHan6JR0rLVPVosHTBNwTcXlWn8GCBCVgXVX0dwDrXh41e7dRIVROYuqgALwnKYbpzZHxCKBnn7FThXAMezUY4JUzuYgmpaDOG+JUEmmUS6cKNIH75JFJd4Ugi9F6zqR6RS009fd0RcWa4fnYd88txwfxii5SOOPGAYH6xz7ZJAHpDZnShectAR6xuzvxiC0+fkV94Wh3Vs5HS2Kqul8Jj3SmhgMBbYDINfV3DOo3ialgn4f2Xquq9p9XUMyapWwpDB0gP/5UAHUFhdxOOIux2qnAu8VqxkIphhHOGzhiKtOz2pCbT1x2Rad+Rqi4qKsI2O838AvvE/DL68Jm2SOnJB5n5hZRgulWSKukJxIM4mrcEdGU6QDemk847QUdKxfzST8wvww+bfcHgeaOGLhpzxFJbJcOr6rFVnVZXWWAo0wE9ML2IdQ+OAJG+IdIi8O2DqnOh8qp672gylUxIGqICCNMV6JAdzb0bmP59H1LRj3DuPH2DsLwRCYVdJpEu2Rg1vN6qdTbhyFatmywBHa2EJtPXHVG1C/00Gyl1TE/ML6BwzoWDp51zKD+R6juqtygp0EvN6BnNHdMD0JXp5UAXOU7qNjzvqD5d4gQMCo7qsaoe+6rHFpgY6xRo2nop1oXp6wDWuRTWSbhQ4tTY2+YfUcOEpG4pDF3eCLJnTE8mkXaycC4Z4dSQii5M7vwc0wXNoz6109TiJFLn4T7g0a1khaN7oglHs5orka6jIqE8zPyCcspdD0x35peL1fwy+Wj2WJp4Rn+31VamF4BeoqTnaY60AuhnH+dU9TBSmplfbKTUq+q0a+WUzAGmzAIj2DI91LT1EqzrtjE9YJ38CVB6u0iLoqDqXKVep6pTw4SkbimMmOnqnN72SaRtEs4lYXLv1ZCKGiZ313kb7TRtA1t2jl+N6VA+rFrnJ5G6w92Eo7uDOX7jXS52ppsm09c1EU8GUdUrzC98Wlo6XuLGWYKSjcQJKJUA9CqrS4HmSOuAfvZxX7aFmbyj+oFJmEZR1cc6VT3zVQfrXlV3FhhvWKcog0KK9UhVz2O9bxrWaRH4tn7iVPVe5dRIDROSuqUw8kwH9AN/3uVM1wlHWZjcuS4wQI7pxUmk/nC3wtFdW8Tm+OZKpOum1CKvj9T8QuInYGfbi3SVDIkToI7qpg4nyK4v9YFeQLlJC0A/swzoNt+VFBzVQ5yAOSPyqrqzwBynEWBSC4z/7+IsMEgjWBdVvS9ineZwHewlR0JVp8NkI6U9XlWnegGjhkLxX1Smm1Udnb3bnNPVa2Xf2yTELuC2CUfbRxOOYLpNIpUJR2ESqT/crXB0p5hu3Kp10/OvhCbT1xmB6ZmDdqyqsxESamwI0xhGSocfnzqqtyiB6Q7osRk9RTmSGxRtFdBNqB7/J0aeGMUJGH7Y7AsHy5zSTFWPppXGFhhUdQ0d7iwwyixDQx2s5wzrfRfrdmW4SvybicwvPV1Vp3oxRrOlMF4S9dwx/bltumvCUZhEuvuysglHo/1KpDdHK5H6w22FI4m6fp0zx6Pmx68EPpMnvyl9VWpheNBGSrn3ceLpNVXdRkoXjjkCPTcsaGd5EnBXST2gp0q60NwxvRVAF6YHoCPmn2OO6hNOszgBbqS0TFVXv8bIAsOxsQVGsKVoMKaXYD1S1R3WNTPlBKz0dqEtXAd75ZcEVe/BjaViVUmYrlNJHdOf6PIJR36EM0wiDROOMqaPXR/l3SaRCtMtMIAvof8jao6/XUw3NuFI1PzocD6TJ78pfVVqanMQinHXQwqqOkSDbmGkdMm4KKL6yQcOL8wprZIC0KusLhnN2w90Y/r5BUf1SFVXX/UQAcYNlspLjgN1sNRZYEqxbuxuEesGFDuwt4s0BHxnQdWTkdIuUtU5S5ySX0uFbAGjxkEXFUCN6YdbREaY/uw2g7qc6dkI583qibhERjiTCUeyEuncjfa4XCeR3qtOLz/d6lAVts10s5+tcLRcVzhqBgZYV6UGyLjfpBYc1ad/BWUWAi50Ib0OHX9avwu+lptTWiUB6HXN6DmaI+0HOmJvnSiklxspDar6kryqbhYYDlF3IGeB8ap6ZoExBbxFrAvT1QJjTAl86dVCQ7gOXBA26Bi89oKqDtMtQ5y/Y4XCSWknbuCM5ElI6pbC8AOkxvTumXCkI5zOa2WVeK0kE47Y2GGCrC7Nr/veJqtLs1OA/hMRtvs9lMX/kpiOs5uOjOuucK/F/BIv+mOPa2C6qurHo8uDPFvQbt6ooTPc2tMHmC6cQDyRVEnvQqCb0V9HSlVV9yG9VFUfyvvJWdX9FCT+jsgFiQZLBestWWAgeAHrfdawLvK1soEAAP/0SURBVA1RVd3MUwVVvdOZnvRgpJEzkichqVsKQ5keUvcw3UIqmtfKFeq1kkw4gukT1//Cgo3Q4vf7pgR7YacB3TM9Mt2oOb7pyLjOSs2GB3Vs0Hm/xKo6GzfM/Tpc49dVIaTX6MNRdW3xo/NVVU8gHksK9BIzeh2gu/hc9YF+djXQVcTt0uaUoqrbSGmmqo/Nqerk5GqUuqvXt8AErN8eq+p9F+tcBOsnqqrnnBotQ5y/o4RiSUkPNmnxjGSIMTroF34pjJd0yTo/Uion0BQyd7ZwLhnhNK8Vm0S6UEKfB+d0Ehs7Tt5AVpe+WleX1mAvAegSKybE/9JV63aZuaG9EppMXwelZp58cSTxmOmGdR5afiLP5Tan1BY/0vAvI79xAFQlT4JykwLQi0p6nuadAPTzlOnm1Dg+cmrMVHWbVjrxKLKtnFIyWJpaYMKypXlV3a2ekVhg+iLWaQX45vXGBqnLnBrtdEkPNql/Rn5NMCpRATzKxZGRjRe7dcJRPIlUQ58HT0SSMF1Wl95o72uU6Q/kmJ5OOFoiphs7vMn0dVBqZnMIMU9MLS2aX9gP9NFhV0w+eun4YaKqnz9oylkDxp5ykC2UkdAcCUBvxOoiNG8v0B3TE6Cfd4IINRxhTo0Wfder6gtGWwDeYWRAVeePSDJY6q+JWWAaUtXXHaxzTdjwTo2dPv+IYklJDzapf0Z+TTA6+IltZCkMGyDVDZguzundsRqG81qJJ5HmV8P4d1tdeomsRLr/HS7YS8b04oSj6e7wJtPXQRGQoapH5hcZ9YpVdTYAGTuhm3NqnKCqusw/OtTWKSUPKc/0RoHuaN6ZQOetYy+ebJ1ScWrMVHV+MlVdogXwxyXnrp4OlsZYV6YXsL5YLTB9Gus0gStg3YM3H9eHy5Kp6p3TRsokJT3YpP7p+DXBaM7pRTeO+LUyvWudXhBOJ14rMP0274k4Vz0RE6ZPk2AvKPL73+mCvQjTf6yvhMKEI3FOb65Euq5KLSwQAcKcWqo6KY8o/SBgnT3XBlV9kjg1ouHaQhkhUmPM9ILVJQN6Gjg3onkMdMf0DgK62f1z65R6VZ39YlXXFagtWsBKGSzNwvBmFphssDTvA6O8TlT1SqzrIZw0hk5vFJrAReBlzwavPa5MNFLaiap60oNN6p+OXxOMDnk67/SicRnFkbFrB0gRTicTjnQlUjeJdE464Qimu2AvN2x2wF0u2AtAd0w3002YcLRAXgmxI2OT6euU1MJS+sFR3Y2UFs0vXlVHk0WrDZEaJ5zm5h81BPTIjJ7QvBVAjxxdAtCF6VVAP2E/mG6el6qq20IZ4qvOHh8B5oil44+0wdK8BaZNg6UK9DpYN9DY4b1UqD9XwN79pgoEVb2zR0rTTtzSiciQYDQ4vbg1McyRsTsiMg541IfJDZ6Is9IJRwB6l4s12MuNEsDLgr1kTH9E1XyNFWOmG3FObyrp66pIcC6LOgvC3EhpIU6AYR2ixU6NyfwjOEueMqCXW11aC3TP9DzQheke6I7pCnRlegJ0Y3pQ1aeqqs6eOeoAs1CXQBILjEQLyFtgKgZL8xaYclU9xbrm6RtYl8qjlXdHUHVKjlPya1HIE2PULYWhA6TO+8WY7gdIbS5PmyWcq0XhXAMe3bLfgy70uXkiiteKTjgKUIbvEuzlUgn2csA9LthLYHpuwpHG/2o6p6/LUjNPvksnq79HPk6AqWCB6aKqi/lF5h+RH/zBwdkXDJ56zgBd004M1gHo9c3o5UCPXdEF6D7gYiuAvk8doCMXfl1VdV3T7qKzDmHbppXOLarqOrM0scDQ/LwFxsELamSquujjDuItYp0KxOjpdUL9uQJBVeeFR1fxTO9EVd2kwcLJlmBUnV7Uhh4cGdXpJURkTBjdecK5nNeKhT43T0QfJpdfScJ0DQzggr18awt2GtAd0xM1f3bTOX2dllpYSl+sDWZ+cY7qpaq6mF/IQ+blE48Ka9pNUqdGMpBySnoZ0IXp9YGuTO8MoJuNSFT1Uw9mI1jVLVhjrKrbYKldE+cUZIOlFRaY+qq6I3uK9V5vWJfKJ0HVu8SpsVVCHRKmx0thOKcXGyDV6F3mT9KyFADdBuF04rUSPBFtEmlhwtHnxq3/+Tkb7nH5JvtosBd25pgex4qxCUdN5/R1WGR4UM0vR4m1YaqYGpxOqgppUVUH92SAdGiyHAgHw/wjeEqels3oeaAjlUBXprcW6J7pJUA3oZJjTj6QT3OAiVV182ssUdWrLTAGL9gRq+qO6RnWTyliXd8BfQHrXAF7/Yuq3iVOja0S6pAyPVoKw0ZKZYDULy2dsrszhdPZJNID4kmkhQlHLjDAFZvse8vmB92rTP/RViZsZ7FiVrkJR03n9HVZaqacqvnFO6p7eAm58kyHYhCNX6+c4SI1Lh47DBomqnqFkl41LtqlQA+el8EBRiLAnJ+p6vz5kJec92sUVb1ksFQtMGWquungsaoeYz0xwvQBrFNzms9FYIPrQ/fgmnS2U2OrhAokTJelMILTixleoqWlE+x2qnC6zBPxBvEuN0/EZMKRBAaYL4EBJICXBXtRoA8wpusrwSYcSfyvGRs2ndPXZakBMot5gmYqI6WRozrPZ4n5RcO/eFX96FhVH3/awSCVPFVWl54AdBMqaVZ1m1YqqvoFmapuFhhT1c2vkcbWU9WLWC9R1fs41rkgbNA3uCz2npNr0gNUdSoQA33g41vXd3pJsNupwulcYIA7vHe5eiKGCUckNnacJMFe9rpq0/1uc8FeoLkBPZ1wpKabpnP6uiziyefML85RPTK/VI2URqp6zqp+Zv9RXlUvAr1odSkCveC5mAO6ML2VQL+gDOgjTzzA/lKEaaXTzz1sJqr6hYPnoarHg6Wpqt7AYGlRVc+wDtMrsK7vA6oUw6i3CNWm+dY95OJ0baTGFoWzx0yPnV7cRuL0UiBv5wmnk0mkGhhAJpGu3GTX+RvtJM7peaZftMFuizTYyzddsJfA9Jyaf5kz3ZgfZJPp66aIJx/KqZhfqhzVS50aZwZV/ZhlqqrPvmDQ1EhVd0yvAHrpoGhHAF3mFjUCdBPqadNKXVz1OAavGyxVVV3nZDlV3V0ZHW+IVPUSCwy8TgdLjekZ1i1PwLoBKMCot4jUGa28Mqh6dzaKUwegO6b/cusQ4MVt5JchTbDbqcLpssAAfhKpOKfHE45GSmAAFHAyhGAvGdP9Ckei5q90phvzgwwl8Jk89k3pw1KbrUvp2+oQwfySOKqXqOqzcqo6BJw3ciiqOnwcddIBQJlsXknPmdGV5o0AXZjeqUC3vxSqqmtcdV0CSVT1kUNzfo1eVecfTIszSwPWi6q6Ml2xvkRl8SmZtq6ZezvWabv1Ey4Ob7ubUNW9+cUyxPm7TDhvwnSJChCcXnSkVAZIW+v00kHCGYN3eTaJNJlwBNM1MEAc7GXAD7dC2HCvBFPzL9VV66a4CUehBD6Tx74pfVhqgEwW/ZGF3IL5Je+onh8pNaynqrpOK1VfdVkrA7ySJ1hdYjO60LybgD4iD3TePaNOEu8XVPVJZ7opSEFVt8FSUdV19DhR1eWFFy6OMl2x7tRSUNKCqu6xLgq7Yb2Xa+tSYVXVedWxzZXhsmQjpd2nqnPelOmR04uMlOoAaXc5vcDlEBggTCJNJhwhO0/f4IvLNt5bgr1sbsFeAtPdKyGo+YVJpLaRPPZN6cMik27mjBicmF+AV2R+qaeqX2Wq+iSnqlOaqurCys4Demk4lzzQHdPrAx0ZrVXVJZBcYC9V1f1g6Xi9Jj5agFPVs8HShiwwpUy/oy7WqVIMpl4h1Jm2cynYcKp6F84/qhJOmjC9Rzm9SGCA4iTS/IyhLDDA9Vmwl4zpNuEoXrVucjMwwDottemqnAbzi8UJCCOloo2qhSFmumFdVPXMAcar6j4CDJAlT2xGDzTvUUA3pttqpdEUJK+qjxW/xtxgabRiRvzOy/k15lX1Kqab9BmsU2HazhVgg8QrnwuSqeo9gOlsO6cXHSDNOb083T1OLzKJVGcM5SaR5iccucAAKzaRAF4+2EvK9KDmz2muWreuS02VUzE4gDCbbgOgL1dH9YAtugWpRFWPp5VOkrjqoBBVHZ3XWBkBPR/LpRrojaxx0S6gC9MzoI8++UCbf4Sqnvk1uilI6WCpquqxBeZ4984LFpiiqi7mF4fsFrCuZO8DWEcDYIMrw4ZdDbkg3eHUyBkD0I3p4vTigwFkUQF+pQOk3eH0kgUGkEmkm8pyFtPTCUdZYIAbJdgLOw3o6Phs2yshm0TaDAywzovMjxfzy4WDF4waavxa4eME0Bss1VXVNQIMqvpFx1yicdVFVT/3UBAJZMnjgN6YyaVbgD7m5IMQquqmIJlf4wgNrZ4PAuNUdfVrrDdYGmG9EVW9z2Cd2tJw6xv0Ci5LUNW7xfzC6VKmlzm9DH1BBkgHPtYdTPerS3/5Rl2iaPFGO01LJxy5wACXSQAvC/YCzU3YziaRmprfDAywzksNndqW0gdhzlF9kqziRjLzC9gKg4HsjJkeq+qo9lCPw1HVNa76gKCqdx7QM6ZXAd0zvT7Qx5wiTLcpSFPPOXTGeQO5IH6w1KvqFYOl8fURVb3MAtMi0/sY1q/vGU6NnC5hernTy3Pb2FIYCXM7Wzhjtrq0TiLdbVHJhCPU9l3nbiTBXm52wV4U6FsibGeTSFfJqnUSGEDV/CbT11mpTTrDLaUv5pfRsuIPyeIEQC6wpapoiVWdDb6yk0eXPKjq8A59FsUWrR9tN6jqrQe6Y3pbgB4xvXGgj1WhqurXmAWBCYOlS8eDdV0xIxkszV+foKrHFphMVXdMV6wXmI70AaxTVRpu/YQrA9zZ7i5VnXOlTI+dXl50A6RDnxWgW0qw26nC6dwk0rBE0QLxWgnO6SQ2omAvmx2owV4M6MZ0d7jFilm8UXMl0qbUJpzmltLn3pNKR0pjVZQ8xnTDuqnq15qqPvXYFRotQFV1iRYAOsmTMb0zgF4x+7+1QBfRYI3ZYKkOM7jBUg0CEwZLTVWPZ5byYqs/WNqSqn6qSq/HutQTrbw7gqoXhXMlTBenF40KwLYYXpTpbJemBMEdLpwizBgKk0hj53SSMN2CvayyYC8Z0w/5gWf6HS5WzG4LZSVSW/SuyfR1VmoGMpKMlIqj+uEGLxfSK3JqhN2mh5I5xjr6KQ8weVZNkyWQJFoAqvqIIdOHH4baixJNntYCXZheBfQGwrkUgC5MbxHo4/RS5AZLL4j8Gt1gqYwhm6oeW2ASd3W9OJmqLljPqeolTL9z6al3IH0C6zQ8UtW7zamRE8VAz5xeXsw5vfBT7ZdeqlNC5PYLZWYzhmyJIl3OYnvvnE5iY8dJG6C/xwG8DOiO6RpXIKj5zcAATeGO1yae3n/qOW6kFLXU5tq4OaWqqgvT66rqqKjXuiWQJLAXh8NB9FwUXtBJngTonuktxudSoCvT2wB0x/SGgW4iFyQbLHXXxA+WOnd1rowbLJ0mg6U5d/U6M0sV63WYbiJYF7L3VqxLJfNB1bkaXe/UyFkC0I3p5U4vL+SZHkt1SujcNqEcmTGkgQFsiaLPz0m9VhAX7CUK4HWIAh1h261aFyaRNgMDrPNSg4CATEZKz7WR0iGLwpxS79QYxyMsVdXZ6VT16VlgLxeD98z+cJY8PQHoGdMrgD4eOU2wroOlzl3dLDDm11hhgUnd1blEinVTTgUxmQUmUtVLmd43sE7DuQ5seKfGTFXvmiZwFlB+aMz0J5zTy+Ea4EWYboaXBOVVUp0SWDcoHNjvIZkFKjOGrtbAAAVPRESDveQCeB3igZ7FFfCTSJuBAZpSA44wbtIZqOpibcjmlHrvPbEwzFBVPdJD6Sg5ps/9Oio8RIP+aK82BWmhrmw37ZxDTfkltQbo2ez/Tgb6QQnQx5/WD6G2pYOl3gIT3NWzwVIXoDhvgYn9GoMFpkWmG9aF7L0T69SQVlvf4G1HtwmqepeZXzhFsqJQzunFL4XBdkbtxqU6JeCuEnIOiFeXDpNI856ICKr3F5dsjCIfAngdEpgeDg+TSMsCA5CSx74pfVhqqMMQEIq5gUHv1Ohsx6qNooqaHhoDi46Sw7pX1QEcsFO/xmHz/BQk2EqeNgDdM73LgC5Mn6BMt8HS4K7uBkuL7uqqqpe4q7eoqmdAT5l+17LTIqwr2Xsn1uktbPCqo3t08Ugpp0iZXub0wnZG6jZLdUpQHoSfDvlBtrp0mESaTDhCdrYAXtdKAK+M6d9XprsJR9Ek0kJgAEvJY9+UPixyvyEjgJt0Zn8X8CRE31Ujg2ErHikFWCVM96o6aCM/vONw3g3QcPpw8WuUM9VqPQjop1QCndpahZ27ullgTFVXC4y88FpwV3cWGL0+Jaq6Yr0e0z3W1Q7TC7FO9Wi19Q25Jl2uqlO+0NwDdODPt3ZOLy8q082Y3lFMj6U6BaBblQ6JV5detSnKuEwizU84QlwArygoI0A3pru4AvEk0kJgAEvJY9+UPixyv0EnBIRipqrPviCNvgu2YBbASmwLHAuwVBTrBb9GSpDB0gsGQUaQSp4eCHRhegHoyETF+kVnDYgsMDJYKhYYcVfPLDA6WCoWqmywNGeByUAGi4FyZoHxQC9lumEdibH+TY916kaKKdajROqGVt59QdUpPwaoOL34FTDCRur00hlSnWQSqc0CdZNIN5aVSPMTjiTYy4wN0cH3vk6CMtpRGdPzk0glpmMhMEBIyZPflL4qtbO/8mXuN2QEc6ilZmoI4V9spDRR1YMSyoGe6TLwxR5T1cnmBksnHY1Wi4YLEyed4QZLM6a3Eug6t6jrgD7xjP4IFRYLzPDEAuMHS/MWmKCqhz80/H3JVPUyC4wwPaK5SWB6FdapVc/X1qkbrbZ+wjWhb3ApPNM7V1Wn5AB0Y3rm9CLR0t1GPaeXzpBCslmg2STSqemEI77uMjMLysjOHNN1DqrFipGVSAvmeCnFp+TJb0pfFSEs9xuAAkFYNlWdGtFJTVUP2ArzjzJalWHdqephsFQtMDJYKjNL3WBpw0AvhnNpK9BPbiPQeQ8h1DmzwIhhKortpeYp+ysTD5aCsMQCU2ewFF4HmpvETM9hXch+MvUJ2npPxrpUzDk1+qDqXeXUSMkp073TC9ttcXrpcNEkM4Zg+vXRJNL8hCPU9l1mbfilS11QRnY6pn9PmB4mkZqaH8zxpUwnJQ9/U/qkOMJyv0EkjJvsw7+E+UdupNTPPypOruHYwHRR1b0Fxg2WRjNLdbBUVhfqRUA3phd9YHjhJRYY8YHJDZaqm1DDFpgqoN+dxzqVEW1dFPbegXVazRVgQ1T1vFOjZYjzd5RQbML01Omlk4zpDQpprHzYLNC9r9vsSyvFu3zHyc67XHMo08e5oIyA+wANygjNTdh2q9Z5Nb80MACJS20bycPflD4pGdNBJxyEZTaFUiI1jpb5R/FIqTg1isdeC6o6IIP7oI3XADosb4VFY49Aw0XVBZrkaT/QS0OiO6Ar0zsK6JPO7D/5zEOoczwLSZaijgMGRBaYeLC0DRaYmOYmMP3uS063bTJQE1HYewnWqRVNto7BNeFq0GG6YKSUYlOmP7WNoZxtPnsK0211aZtEOm+j2BpOYgO9OwRljJne35iuc1Cdmq+BAcwcbyXYp1180klH7M5n8vw3pe9JLQxUcr/hI7BDJ82cGsfkRkrNqbGggaaqOvvJIBYYN7NU3NXRbWUdaj9YGoBeGs6lDUCPlfQA9NiM3magm1DnqckspOCu3qEWmEBzRIEuTDesUwfT1nsd1nmxsdFlTo0UGwO93OmlCwZIq8Qnt7r0NTJjSCaRRtZwEhsSwMuCMvpAu9DchG0/iTQKDFBgekhNpq8jkplBuN8AFA7CMnNqVNuxODXmR0pt/lFdVd1bYMjpLDA6WMpLQgZLz+wPi8nWGNAd07sC6KdXAn3yWYfwqqPOPg6Mc220gAFFC0wU26tRHxgjdWB6THMTzm4/9S6sUyWabC9+ecl1vqpOgQHojunm9ALTNQpjz2G6zQLNJpFG1nASGztMckEZ9/GBdh3Tv6tMt0mkGv/LAgPYEKuVEMqxi28pef6b0vckY7phHUrCO3Fq9COlaKORqh6NlEaoKsF6ZIHhTcCxl0w8Cq1/zojBYoHRST0dAHRhekcCPWN6AegqA6i2WWCca2PeAmOReOtYYCKsC328BeakYIEJqnpMcwO6bcRYd/EDIgfHnox1/q+wwdXobFWdAhOmy1IY6vRyuDi9uAHSrnZ6iUWTzAK11aWvkhlDEvo8soaT2NhxsgbwWpUF2jWgO6brSqTBdLPTlJIAXnZB4pQgoCl9TITpYgZR4X4DUCAI1CT8i3dqXDJ+mI2UAiwbKRWFq66qzh72kwFF9coZXylYYAZwFrJ1F9CF6a0H+hTkbME6r6Xg2ljqA1PEeqssMHflsc4ZwzbS67BOfWivdRKuBi97tj3TO15Vp7SU6bHTi18Kg+0UtV0mmnKTSJep10phwtGOF23whYW5oIwGdGP6Aff4wAArJDDATheVBPCyC9JU1dcdie3aItzyUScdgA4LvGyk1Dk1TnDAskiNqqrnrOr2xCZYDxYYc1enBLHAqA8MuCRPDPSM6eVAzxxduhHoJtSci5O5NmYWGJ1cOkX+0IhhvdICI0RzFpiFlRYYGx3lXPdEQDdRrDtPmOJ0pJ6GdakMBO+qoOqUljDdOb2YMb3HOL1kq0uv2kQmkc7Y0KzhmsMxXQJ4aVDGcqbfrSuRqulm1zkbSrAX7zZjh7NhF4TrzGdICQWa0pfEjNpB9uV+m6oO0fyadn7+kbctxKo66md9VT1YYMQHZopEV098YOoBPWJ6G4CeC7gYA90zvQWgn5kBXZjugT5VmT694NqYWWDC5NJSC4zDel5Vr7DAcCIIXmQ6Yqp6L8I67bVOYqq6vdiU6R2sqlNUyvQe6fTiAgPclE0iTSYcITtN3YCf4kC7jumPKNPvkleCmW4+P7sk2Et8TeRr06lxHZDAdDVtq3DLwSXIA16xqi5WdWdbKFfV7f9dEetqgREfGDDH4ZTDSwIaTj3nUMhLtt4F9KnnIIdSbTe51BvWxQLTwOTScK1iC0ysqgcLDKcQbT0/UhqJs8D0CqxTExpLr6DPsM1rnovQSSOlFBUDXZxennEDpHztOQOkMolUAwNkk0jzE44QCeC1ZGMLtMtOo7kBXSaR3rm5vBLUdPP5WRvuWAj2El8TrjafISUgaEqfET9QaaLWbe53tarurOrBASZT1d0AYIr1xAfm8qnHXpqfhUQeB/SWwrn0HKAj0xTr4trYqGE9t66Iw7onWtECQ+HG62qsp9ORegXWaTsbhaDqHVZPyglAN6YP+oVzepEB0kaWwuhs8SkLDKCeiMEabr8KnUdpAK+lLtAuOw3oxnSbrySxYlZpTMdZJQG8kitjqenU2LelFtM8CLe8SlX3wQhFA21cVc8sMD4OzGJxbRQLDHglW8NAF6a3AuiO6R0PdJFzBeuZYV19hHjzXWKrUTvXRvVYTyaXJhaY+akFhmJhtGnrDutqWy9lem/BOtWgsdZDeMNxHbgCHa6qU0jK9OD08qse5PSCxu1m9l8fTSL1RCaxsT1Mn7GhBGWsZjqvhD1XbbKbBXspBPBKrow9kqQm1vuwOM8TEzdcqUwnwUcAJw4wPlSAOcAEw4JMK410zypV3bDOMywWmODaOEFdGy8cbGQk1QG6Y3rV7P92A31SCdCF6fWBjnBxqLkY1i8YHHms51wb7f0Xr0bNpQivQIf1yAJDgWqBycZLDetC9gqml2Kdonom1uktbHAduAjWfMV6pzHdnF7UmG5OL2aESVHbZaIJLtvMflt2TiaRRlo2iQ0JynixBmXU4Ol2FNLvYWW6rUSKmi/m+I3IWQzgVbw4cUpY0JS+IXlvQicyYsktN1UdopWo6gFVqOpgPdI9EY6NmQ65bpj7NTII1iUSr3NthH1AcJZYYGTUsTcCXWS4YN17rA+xlUu5SoJ1/U9j77/YsF7HAkNRZoGx8dI4FEwe62qQiZiOCNN7NtapA421tz7X4XpT1Tt0pJQSEqaL0wso72FOL8L0e31ggIpJpCEoowRP10C7BnTHdJ1EKoEB1By/y4ySAF7Fi2MX31LCgqb0DVG3kzzNTeyuA0qQl1PVdVqpmF+Cqs7/6AhSximOjbHOTn41CwwPsxjWo8mlM84bCGrJ1j6gZ56LpWtcKNDzs/8F6JnVpW1An6FC5W28lDefXSUxrJtrY96wrqp6YrDKFNXYsO6w7pfOUKwH87paY/JMR1RV77lYlwpA8M4Mqk4JKdOfVqcXGyDtMU4vudWldRJpTGQSGxaUcfcVWfB0A7oxPUwidcFeGmA6ws44JThoSh+QwPSM5mHEklsuqnreV91NK7WoXpGqHjs11sG6qOretZESUGYpcM4IscDAYrJ1EtAd01sJdGF6XaAHphvWzbAexkuDYd2wLoZ1HYQIFhiumF0ru0RAjacuwrobMo2xbgp7keZBej7WwTetZkNV9Q52auTwGOjB6cU43hOcXg79sVTMTSK1wACXyAhnHH6LxIYLyrhiE5Tx/TV4ume6ODXa4aLmr9RgL36NJCvBPpOLg7DzJr34lhIcNKUPiPgRJiiPhbsOMWEfIHOquo8Ak3FKLMWNqerBAmOujdMkwDpvCBRbCgegZGsL0NsQn6tBoAvTGwI67zyE+ksomHi8NPJYF2uVu1wO62FyqV0r01V58BzWbcjUYb3EvF4linXJ3AOxLmd3To0uqDrN76iRUo4NQDemZ04vv+pZTi/p6tIXZxOOwqcEZYTpUfB0AzrHsm2HS/yvS2WINayRFBeSXB+EnU2nxr4tkW94Iuoqzi0HqfARwFWp6mJSUEgZoVpU1TMLjBjWLcD6MIqdef5A8Eq2Xgr0DOsXuvFSxXresO7GS3OujXZlTFsPaAO+hnWzw/QxrNNMegIbHevUyLEp0yOnF5lKqgOkQ58vMP0XHSdxsUXx6eD86tIyidRPOAqfO0yQQLsSPD1jugDdmC6BAXQSKYr8rvM32kmmLLXMdIT98lNz/lEflcw3PBM38cd5FnLX4SYozFT12KquqrqYiTWuuqnqpQ4weaybBSa3xJ1FbZRexoukDtA7KCR6m4CuTK8GOq8lhPqXzC81w7oNQnjDujU2/L8pYh0EB6xXjZqWimUIWOfYnoN1Tk0brXvwl4X/bbS9Q1R1DkyYPjh2etEBUuf0koC4y8SnaHVpP4nUTzgKnztM1EC7l2ULYhjQHdN1JVIXGGBeeVDG5PqYsN8eRlLTqbHvScT0r6c0D8JdB5RQD2yVqOreTGwOMML0alWdPWEWkmI9M6yDv7kjhsBNsnUN0HPhXDoI6DPPH4TQBC5UCNwo46USr9hCwTjDOnnUAlM0WwndBHBVWC+MmqaiQK+LdSmZCsSPelcKp6aBdAM2uAK0PWt1O1R1DkyZbk4vxQHSBLVdIyQdICW5SaQ3qSeiTiKNQ7XYpwXajYOnlzBdAwNIAK+KoIylwk+Wmkzve6JMz2ieQ7nJCF0Yeoyp6ufkVHVAnFPVzZigTA+qukd5UVXPGdYpxzzWJWaAGtZ7L9BnIRco1nV+qV0rwbq4wTjDOr9eOcPZrDzWnW3drlse65EzTMWoaZBA8yBVWLdnOzznXSmcl9bZK1+6TQc5NXJUDPSBj8lSGEDcDZAa022ANKFt1whJmX7I97d0k0hvdEsUQeQi03ectMGu8wtMf1CEbbe69JXK9CiAV1xIcn2C8JNdfEsJFJrSq6VWqpibBM9CwzrQhICwLKeqT2qdql6CdWdYd+Ol3mNdDOvG9AD02IzekUCPmN440GfUBboJTYjdYBTrR7OT5MZLvRHGbOtcDXkjznV2GGeOSLEezOsFrOdRHksV1qlJ/Kh3pXBqWsebjA1e7fQH+obHegcx/XHv9KIczzm9JLTtGqF66vQC02UWqAUGKEwiDZ/s/MKCjVDk0ccP1AUxDOgHG9Pv9IEBlm38eWN6VIJtJNcnFn6NU8KFpvRekduZojxPcxOyQVUQaaq6RYApquoy9JdaEjJVXSDlLTAx1oEadPPjpRIKBlBKzeSkbQW6zi1qPdAjpsdAV6a3CuizkQsH0wSHdXWD4WsUNiDDOtdNFfYkdmOwMstD6LCec4bJYb2+9DSsc16aRjPZoO30BLY909uiqpM/AN2YnnN6sagAbJvTS0LbrhGfDvmeTiK1wAAVk0gRCZ6+QBc58gtiGNAd031ggC8ubSEoY6mQwfQtSwkXmtJ7RW5nRvMCylUOEP/CE2W1ORgKCoFalapuxoSCqu7Uc2O6YZ39N0RYD+OlfiLSEDBKtvYAPWN6NwHdhFaEBNaX5aPBhCHT4OAoWG/9qKktUV1fhOmCdTkww3rr6dkhIidVp0b+oLDNJ/0hbmxra0X+lOnm9KIcT51eEtp2jfjU35hugQFWbLJr2SRSZKcpuiDGqk33vWUzdgagH/xAxnS0+C8uaSEoY6mQgUvNZ0gJGprSS0VGI7mdBY6bOJqbc6HdeIgJ9UBYrKpfmvNVl8Bepap6YHoF1p1hfbmOl/LaMMN6rwY6rUDkwtVqtnpGZFvPppjGkQPagnWnsKcQL0qKdVHVuxPrtIs2siGqet6p0TLE+esLmROmi9MLKFdjeo9yepEAXrrk/97Vk0gRCZ6+yC1yxM4AdGO6BHu5XgMDLNGgjHUDeJUKeSRb06mxb4kQk9tZTnM/9ycIOYEpcARzQVVfOl7MxCsj52tR1W2wNGJ6gnW22R9jHZZxrGGd9wQvDPgIf8lZB+jC9B4P9DkjBiNs5GzreQdHLl00HSkXPECvYYL1aNQ0h/WW7TAZ1nXEtRuxzhlpFE2jvWzTZFoq3cO3tFVVInPGdDVbm9NLboC0Zzi99H/EBwYIk0gLK5EiO0+TBTFyTFegO6Z/EzVfmb645aCMpUIeexJDSujQlN4otfGnHjzm5AO5nfVpjojPuGIdesJBiCYTJkebr55oncGSIKq6t8B4JDWG9TBe6hcvhZ5kqwd0z/TGgS5M73Kgx1jPPGGS6UjT8lj3IxP+1SiwE94Vsd4a83oSOaAnYJ02skGT2YhV9VbVh8wx0DOnFxsg7TFOLyRhugUGCJNICxOOLHg6OrgtcsTOAPSI6RLsRQJ4NRCUsVTIZqnp1NhnpAYHoeTokwTrpTQ3lDtRQw2EBZeAD4SpC7aM/vkpSJmq7gZLq5leinUO5K0ghnUdLw2G9XYBPZtb1AFA90xvNdBN2DlPsb547DA3Hcmvi1TqDHN96ahpinUheynWS+3sPScgDKejObSLDZrcZlWdbImSXu700q0DpFYxUr+Ht9RJpJtnk0gLE47YI8HTl2aLHMVAj4O97NZwAK+ikM2eSlIT631DavAOJoJpbmclzWUGkEwCMiEnPAWO0G2OLrJs0WWrBkt5SluD9XS8FDhCXrJ1AdCV6Y0AXZjeBqCb8BPvwtws0zKsixORYl3sMK1xhgmjpkESpiM9Deu8ztlAD6CZdBL2WBsbrAzZAtANnYN+sfVQc3p5oQc5vVjd+j0sgQF0EummaOLo40XndAm0e3EZ0+9XpluwFwvgJUzfoG1MR8gZpwQQTel1UgNtEBBEmmG9Ps3dPCDFOgCFhqAtN1g6OVPVxQKjqnrC9ATrbOvODOsgjGPNsL58kgRuBJpAmZydBfRMSW8r0C/IAd3AHXM8EX7luoF183E0rPs1NCqcYSKsG/Uc1oXshVFTwzrgrod1ydPtWOdctIV2sUFjrcN4pjeqqpMnZbo5vdgAqV8Ko9udXhzTH/KBAaonkW4/dv1dZsoiR2HhOgO6MV2CvdwqcXolgFfDQRlLhZz0KD4tJYBoSq+TGgiDcaAwGNbr01xEs6E1Q0zwB8jyg6XH5FR1HSzlKQ0wEh4Z1vW5RdhOsO7GS3VNanhnhnVOR842AV2Y3nOAbkKegHV5IxZ8HMOrMcN6W5xhnMKeAN0kYN25wXin9a7EupyIblAVVL1VTFegGzfN6cUGRXuO04tj+oPK9JtkhLNqEimMlgUxokWODOgZ030ALxeUsa1MR8gcp4QRTeldIuuugTOoBxbBNHc0RnmR5mGyPjmhKoikhGiwVFZBMr9GW63tWnXhiEjksM7h9tCa8DXFug/caOOl80bJ0hly0rpAb/+iRV0DdBNyknLOMBo/QEcmis4wOazr9VTqZVivdIZpAOveu9Fj3R718Nh3qnAiGkKL2DBVnZ5gHaNBVZ0MAeiO6eb0Eg+QGtNDSpjbqULSAVKr28Ew/W4NDADTF5RPIoXRn5+lixyVMj0E8FrhAng1Emi3SshsF99Swoim9C6pQSjgBeAmn5UZ1lOUIxHNvUhOMAoQoZuBKQyWBuuBwchU9ZjpRVWdPTHWOYRjKUQM6xqPd66uSU3OaqBnSnonAV2Y3kFAD8IhiTOMua7TcHMP7RBnGLPDJEA3EaaXYZ2KxU9+54mcyDk1tjGoOhlioFc5vQx5dptBv9jaMvOZpQTBHS6kmOkP+MAAl8kk0uJ0IT4teLoucuQWroPmByH3RUy/KgrK2D6m2/MYUoKJpvQikaiwcAqKATtQiBZsWK+muU7sVCHbeB0s5XDYZIN+YbA0m4IUDZbWx3pgusN6PF46WcZLQ+BGYXorgS5MbxTo1fG5OhroJhxoWDdnmNjHMRs1zWG9JWeYshACVVgXLb4U6w3AtKOEE9EEWsQGHYbWSbvsdTW/hWrwawC6QTNzetFB0TBACuj5Kclvh+RSQuT2i6e5fQrTLTDAyk12nbtR0bWcTwmeroscBaYb0I3puQBeFpSxsUC7VUJ+OaQ5/6j3i0QjgU0wC6hBPcgIprmp9Wk+5hQ3X5+cgBVKwrviYGlOVdexr5jpjWCdlwFvhYD1xeoGA47tvB0I9JjpXQx0hGNJHuveGaaI9RadYfT5hMVFrMejpgnTkcQNRrAuqnrXYZ2zUH8awgZtpHW0yzWqJVWdnwKdDZoh0svQF0SM6UOf33bwU9sM/HkJ0xMhQ5YSOrdNNIXC0bhdYIBL09Wlw6dbEOPSbOE6A7pj+p2bO6ZrAK8OYTqPHp+kplNjrxbxlZ4jWIdZA6GbYP0MsC6G9fo0D0JOSMqxAM75Ndpg6UXHtFZVR/gaYx3JYX3S0ZTPiQA0OVsBdGF6DwV6EAqJfBydM4zHes4ZhuuZmNftkioB5RFVhV2wnjOvR1gvkr2AdbPAdDXWeVGxwd8R2mUtskbVqQM/BRwbNM3pxQ2Q/soNkArTn9zmsMdaZnosZM6lBNYNiqZQIFyWwADXijX88/lJpOFTF8RwTD+gjOlflqCMm0hQxtkSlLHx4OlVwiGWmkzv1VKDIHAEoEArKAbpACIqsI2X1qe5CdniwdJIVdfB0ryqfsOcHNPloW091hcp1snW9UBXpncK0E0oyrAuzjBgfULq42jXk6thl7QC68EOU8C6s8MowUuwLr8WsU6tSPHz3xnCKag8rWCD1l3fcFB19gcEGzSd04sa04PTC5Qf9ETrgF4UDs+lhN1VoskOt0C7MgtUg73sMtOtLs1PMZRtkaN44ToB+ndE2LYAXntesYkLyuiZHheSXKUWhUPs4ltKSNGU3iK1RWOOUKwPAU8AKx4vzbBe4HgmOreTbKjM4JISZLDU+TX6wVI/xBf8GhOmG8ft6XXb7tdqrI85An2ZnG0FujK9NWtcJEB3TO9QoJtQYOzjaOMTiTOM+RQVsa7XNsF6lTNMQ1jnQOrTZdo6p+DWQ3M2aFpOVW8V04tOL7/aduiz26C/J5lbLT/KCaVlKeF4EFI0QGqBdmG6eK0UAgOEjR11kSNjOnsC0I3pEsDrBnGbcUEZJ+e8IW0juUqNCEfFKYFFU3qF1BaPG7ZwzBGAeG7AehgvPV0M6ynEg/jJ+ibkhKccSyFiPTAY6eJ2XrUEQLEFJsd0h/JqrItt3a11J1hfPulo/hBQW3IK0/sK0E0oVrGeW0zDsE7bK5xh5MK2zRkmIXvAOu8AasKBqq1LUXyNEdDhQvlUmyawoaq6dBXXlmqsszMwl+2Bj2092JxebIA0OL08kzm9NCp5gtcXSs6lmOmaLE//70oALxfsZWk6iTRsgGmYbouRsicAPWP69T6AV4HpfCaXqEHhwKaq3tulhkK9eCxYP9ywDq0AGbADiJP8eGlC8xjlsZAThkJDygl+jRaGNxks9RaYSqa7rx7rJinWfexGcrYT6LHnYrcD3YTCSTpqmsVxzPk4tugMYyjUZ7VFZ5gi1s0NhjqYtm5Yt8feyuwMkcLVqZHmsM1neEVVMZ09MYX5OvDnrXN6cVJgdDuFE8Up7BSmf1tngV6lgQGmlTinI2D6C/OF6fskTNfFMbIAXos32mVmq4OnVwkH2qMXUsKLpvR8qV0y8Sjgu3jsEQtHK9ZHGNYHwj7Buh8vrU/z8RqJhWy8BuAmBKQoGSxVBbPaApMB3YQS0q8O647sAMtj3a1MzX8C4EtOAXrEdAV6xPQY6Mr0VgK9FeFcOlA4i2Jd/veYj2PAeuwME7AudpjWOMNkWM/bYYTyS07h7GKB8UYYwXonMx2hfOpM/dkoOjVahiR/jGa+DjSnl1+LxwsoL3d6yfO3y4SzS1BGCeAlXisuMEAp03WRIzTxfW6KmH7vFjmmr9SgjDM3jJdJss/4ErVKOFYO92RPeNGUni+15ZOOgrxLxg9bNFYM6wHrAA4IAsqJZ/Tn1iYQD6IBWIKIUh8sMLwknDnYLDDZ4naZBSZhOkIJ6dcM6yIJ1pdNAOtDATE5+xjQTTiXw3qZj2PkDBP5OLbCGSbyccxjnfOKtt7lbjAUToWpOf2EbZoT+kmpqs7XhOklTi8w/bnI6aWA2i4Tzm5BGSXYyyoJDJCsI2qfiCxylDBdgW6L2IWgjJQggXZbHzy9SjiWPsNnSAkymtLDpQYgHNbHOazPU6zDMngHEGH0RDWs16e5yQTFemyBEecN564uFhhT1WMLjLE7Fkoo2eapjrBOCRHWsyVM+xjQTTijhOfNx3FsIeBXvVHTBOuRj6NiHeGMoq3Lnm7DOvVnA7KzEavqyan5mjK94PTCZ+b0UuBsVwoV6PdwFOylIjAAYgvX2QLT7AxAd0y/VdxmJICXMb1NwdOrhMMtNZ0ae6PUoK1gfaLHunODEad1wbqMlx4axkvr0zxEYiEnGOVws8BkPjBTXRCY1ALjCR6EEkq3RcqwzikC1vsY0E04b/BxFNd183FsIOBXPGoaYb3gDBNhnXMFbV13KtNjC0wnY52SqS0cZ0O6Sl1Vne2E6aVOLxIVwJxeCpztSqECEpTx7i32udEFBiiaTeTrKFm4Dl7LAtOe6Qb0A7+tTL9F3GYkgNcCCZ7e4Uynw/BJamK910kN1ArWJx2thvUjF2dYHwJKYBwcRPMF69zaFmkemB4sMBTlLDA+YIC3/wp3TJd0sFYtLGxTSOm2SSnWqTM5+x7QTTh74uMYnGHq+zjeMNfZYbhu5ViPzOucxSnsmfiwAZrTY10KIXPMgg4USqa21J8N2kIrwrvffg3ZEqAfVur08kLk9FLgbFcKFZAAXhrsxQUGKJtEKkyfpouRrtrEFpgOQPdMdwG8JCjj9A12aGvw9CqhhDgl1GhKT5YaNCxifaFgfahg3Y2XOjcY7m59mpuYrYY3AcR0s5CCBUZdGzNVPW+BEbOvxzol2EbpVyRg/SrFOq2AdHMV640D3TO9pwPdhDqQ8j6OclUF67oaSerjqFjPjZrqpbPntugMQ+FBW89L3gLjsW4Pv5XWsUKx1JM6s0FbaEV498eqOp8J053TS2B60emlwNmuFCqgwV62kGAvGhiguJYFn7LIkSxGCtM3RSVnZwC6MR3l3QJ4GdPbvCBGlVCC/U+ylFCjKT1ZapdPFSU3w/oExfrYIwDx/FGCdaCWYV3HS+vTPERMJCdUBZTzRuYsMBIHRrjjoZNZYAToXuTppQR7jE3sqzzSfk+G9RkZ1k1b90xvBOjC9J4P9CBUhluTYT3xcSxzXc9h3YwY+uiqwu6wTrFBWy8VfootMIL1zmQ6d5n7Sw9hm1bckLcg2Xn5TJmuTi+mpyM5p5fuHiBFqIAEe7lTlof+0opNQmAA9sdQ3n6MLkYaLTAdgB6Y7gJ4zWtv8PQqoZA4JeBoSo+VGspdjHX+zi8TrKt3Y4R18AciA9YTlCMxzYOQE55yOOUYgHhtrFSNMlhgzD5gWpjQnP7UENYlD9s85wALeBnWL42w3ieBbkKVuKTiDKM+jjJqWuW67v4P5bDu4ShX27BOgaat551hclJmgelcrFNJKsyGqOplTo2kjOlKzAqnl23E6eVnPYbpGsDLAgNsP6aC6TM23G1JGdO/pUwPQRk7k+l28S0l4GhKj5UaD38B6zJeGmNd5iJdkHk3JlgvpTl5LBuvAQ4EQwtHHy6De6pUci6zwDjiZKq60x8N2VVYV6Y7rCMJ1r22PpScbQF6Z4Zz6UChVg7rkTOMYZ276bCuPo7+3VmKdafzmrbuzOs2alpG9jILTGdhXcrUdzaVZxuFnZonI6UZ0APTS51enu0RTi8IdZBgL7drsJdLNt4lv7p02JCF62Zs+MUlG+911ab73hYx/Vue6RLAa9MvLtPg6TC9HcHTq4RCuNp8hpSwoyk9U2pXzfgKeM1j3Xs35rEO8kCheTdyg+vTPAg5p0ok3jC5NLLATP+K4YbH1bPGqWAiLWNdM2hmIKVY1yHT6V+hfN4f80YJ1vsk0E2oG6+u1vk4eqyHl6hcTKetl4yaBrKLku5U9YIFptPGSymTGlJhNnhnsxGr6uxMgB5Sz3R6QajDQT7YC0SuCgwAo90C01dtul9gugLdmB6CMkrw9KmdwnSEcqQo7SSkhB1N6ZlS44GPsH5shvXg3QjW/VwkwAcfYbRhvT7NQ9BEck4/9zCOpRAXB0Z9YIIFJhkszXqVx7r1KnuYTfhawHrmCQPLKB/McUZyVgFdmN5rgW5CDefFa1UXFjUtwbo3diHhqto1NDtMXmE33dzB3ZguqnqEdVHVOwfrVj16BRukWFXnawZ0z/SwFIZmjwZIe4zTiwTwuncLMA2sUcNRsWMWh43P6WKkwvSrN+UFwM4AdMd0H5Rx17kbtnORozpCOTxWfJKaTo29RcRSKRBsPdYnG9br0jwIOTkKXIprY9ECkw6WRlhHPNkpRH7yiE+YjvC0QyveEFdf7Ba9o/6G9T4JdBPqScr7OHpnmLqu6xylFzwYNOQalmE90tkzMQtMpxvWKZO60TfYoPKqqheY7okpxvTntz3iZbectBsgNacXiwqQh2wXCxUIwV4kMMDijWV16VKmj1emLyth+gH3OKbvYYF2O2JBjDpCUZaaTO8tIn9pq7Cem4vksQ5EoKFi3Tmt16d5EHKCVHNtLLXABP2Rhxa+wIisbym7KcGAXoV1DuFpl1Bfs0+gTEBGW6j/gtEO630P6EGoMHen6AwTfBwj13X5Y0R+rnZwXTdQCtntSubtMBHZM7ibqi6GdX0HdBLWKZBaUUk2qDydxLYzoEdMH/yUeDEOe3k7ts38YqlbnF4GFIQKSLAXmH6LWE52W5QGBggbO4zXBaZh+jWb7nd7xvQDVEkPQRkl0O7sTmd6+J9ESvDRlB4oovsY1q+qwDo6dYp1H7tx6tl+saG6NLdAuOSc5pe4WxwtW8rpEgvMjd4CIzpj3MPKsZ5T1Q3rPPYR1o+7RGLCHE7mvgp0hDqTuDshjqOY1yt8HMmpV7tk1FSuvF5Pufh5hd0kgrvu6XzDOgXyT4Ibyoap6mwUgS6Gl2e3AejDfiNMN7iLnv5cBvcA3I6ShNr1hQpYAK99bhYtuxgYIGzIwnUw/ZKN975mU/YEoJuSHgfa7agFMeoIpcUpIUhTepqIjVKwPrMa6zoXadn4DOuy3F3ktM5trk/zIOTkEDAKeihNLTBCnFXTxPGu1AJj2l9Mdgqpg3UjEV8phDcE7aJkiMa5qDmZY6Ar0/sC0INQecV65OOYd4YhAyk4w9gFN6wb2b0dxr9TY6x7nT2Gu+2MLTAIp7Db0SFCafaeZsNeSBnQI6ZbSIAjf7vdka8I0wXuMN0ivbR7gDShc9uEOvR7eMsQ7GXX+enq0mFDmD5bmX5txPR7PNMlKKOEFtht8UayIEbnM72pqvciqaGs8WCjtYE/HnUU2wjrzhPGsA4jDOvovPNGDoWDMdbr0/yiswaYkHOGjxkQWWCCYV0qEywwN6sFRkiRJzuFKNAV5U55dz9pfsX6gm+g7wvWddSU5izXeOtkLgLdMb2XA92EJlQ5w/BT5OPo7TDevO4jw0QKu13SxA4TxMPdvsZY5yi5Kf5+tVOkKBkpdUHVSUWgD3zMKelH/m67I18V9Ry48/XwX8sAaYMzSBMEd7hQh1ywl0JggLAB64XpyzOmG9Ajpmvw9EUbdeCCGFVCgXQGPkNKINKUHiU11LQSrE9vBOtuLtJ0nYvEna5Pc/KYkNMM64vGOAuMYl1Yw9m9BcZhHVg7pnteZMjwTEfcV/1JsS58YZsSaKBi/XhwtlzXMiVzXwW6CQ0xZxjFunOGYadq62LsymG9alKSU9hzl1TAHWPdRLFuTFesS365IxEX2imURmV467CRAT1i+qAntkZJP+p32x31+8/wddhvtgtMz8KmdxW7q4Q69HtQmC7BXqLAAOzn08S2helzlOnXCdMD0B3TfaBdC57e2UxHKFOK9WRPINKUHiU1HmMYihjWech51IvaOopeI1jP09wBPdA8CDk1ZsAQyhFFUn1ghDUzZLxUNEdVG8UUYEYAB4uM7NbPAtMR+ar7MwB5rNNGyqRkWkQrIB2Z+yrQTWgOiXtk7zCSOsPkRk252lddDNkr7TBCdq+w57FeprZ3sqpONfgsBbqNf8JxgH70a8J0VHVEmP6Chk3/mWRLCNv1Qh0OfvDT+9+lwV5WbIImnqwuHbZ3mCRM/9KKAtN1sWkXPN0C7XbcIkd1hDLpDHyGlHCkKT1HaqBTsK5kbwPW4ymm3OmU5mVAl/jmhnXvsU6Z5trIuTivYd3rjI4pxmiHjMaxvkhyCtb9qCkqKq8Q6k9mkgBdZ//HKeFj7xVrTnCGsdcnWFeFPZ5r2rgdxt0Fu7ZFuNtPnYR1UinTBz8h7i5sHP26Av232x312meE6S9tN/T5bc2YnuC1W4RqaACvODBAxuKYy7LA9NyN4D70Z08AumN6Ejy985mOUKylplNjDxfxUL5hTg7rqGztw3oLNNf45sJ077Eu46Xqe+eiNtp4qcHFY10w7ThSpAZAj3oenzHTAQ3bUImiKJOSaRTnWjp+GG8U8ltyl8OnBI69UVxLykZNK+eaFuwwRvZyO0yQiOx2g+zuZDfI3532COXkgK5MZ+fAn0uAlyNf2c6ATkJbF6b/Vpn+rDOmJ3jtFqEaLtjLtRoY4OI0MEDY3nHyBsL0SyOmK9AD0/eC6Ro8vWMXOaojFBur6oEgTelpIiPagvVIW+eRLsX6FYb1KCpvFdYTlCMxzS2+OUJODoE+CzUUzHJnWM/GS4UsxpRggTHdUFFi4LDeFnpe+OpG9vQQ0x95MQjW1bxOuzgXTSAzyQiYXRS/s5dKVn//LyQyrx8Z5pra1ebOcsEbtMPEWM+RvQLr4Xa0XygnAbpT0p+SiaNHv/aZo/8gTBfzyx8+wyeUR3kPs40SvHaLUA0L9gKRJTDAjA1jFsfbwvR5yvQbypgeB0+f0UVMRyg5TuF5aUqPEnn33hhhXcie09YzB0f+qjusV2rrGhAmj/VSmiMS4txjPUxEolhAw1nceGnBAgMplBotgIOvxh3DjWON+jiCJ8pEG6VdZCNReT4Nhdl10RQo2Vskq7aNE3hhJzdIAq+HuaaRHSZ4r7fWDmMiFzm61Nmt0cFSux12SJuFEnJAV6azEx186PPi4oKSfswbwnSALkz/3WeG/cYZ09mZsLW7hJoI0y3Yy9KNd64IDIDseJEyfaVnugd6xvQQPH3GBh27yFEdoWS6AZ+WwsPSlB4lMvQkWNfnVshuWNdBxRjrV834CpxtLdbr0FxEQ5yT0yYiUQisCYZ1EMPZ81gXRsALx+iGsW5RZG9fLIfwE0VRJhlInAu91XwcjYnZpdEUcNnDJattnuZhKJhfeXeaHcawnrfDFMzr3g5jXcK6h9yFWGFXt9F6WCdP2d1plXBsEejGdNTwI17aLijpAetHvfoZNbxsa2FeErZ2l1ATCeB1mw8MMLUu0+cr02/MM/0uYbpbEOOSjckjixx1FdMRCo9TeFia0nNEmG5Y5w1cB+tqhynHOnSAEfyvF6yPyGG9Ps1NpmtON16qbjB+IpIbLxVtUfVE0xCFII39zedrDut+jgw7+YlEAyn/8qnHctJFY5x/iCW5NL0E6FZh97WM5kEsp/ded+b1xA7DLW6bHcaus2Fd/kjpdoeo6hxbZDo7B/1yazTxo17NlPRj/vQZhI0jf/uZI369HcRnOwFrdwk16f+9LQ+8V4O9rNp0t0Ub7VQRGACRBabnb7THZXmm35UxPQue3gmLHNURCqcP8GkpRklTeojIAKNg3S3J77GuZI+xrmRX87pg/SulWHfausc6t7xFmsuaFSpkBjrmBrN8YjIRSdZDUJq4P/6CD5geuUUrUwQflJN0wQjrcghYZyeJoijTsE5zlk86ivqzP4DSUbIHi7ajIZqLM76IzLTiEDOv096l49UOMymywwTzegN2mAzrCdkF6/6+6K92L8J9aVw4qgh0p6Q/I5OMALpT0v/4mWP/9Fngbi7qh4vHSw9jugYG2PcWDQywsDIwACJMXyBM3+cmz3QF+v7G9GRBjK5lOqzgM6QEKE3pdnFOIy1inX/iOaxPL8P6+BKst0jz6cOdkBkecTivBxsv5RScS7Ges8BQYWO06N1qUamPdZKxhkPsK0exx7AOrWgdLKMh/FHg1wDNnixZPRujuQHdhGPNDhPH/KL5hvVW2GG8ed3Arbegg7HOIUWms9NNMtIR0UxJ/+NnQLwo6S9KeIDD1G89YWt3CTWJAwOghic+iNnGKM/0yz3TPdAd08OCGHN1QYxOWOSojlC+nKI5/6inincE9Cs7x1hHDOs8zDzSrcG6ROXNsN4SzWd4IfOcEUPUDSaL8JUZ1lVD5N1DbWGEx7qL+yoc8QShnLgXIuzhJz5J4WXAngzrs3RGknddD+jsgWKtkO3W0zyIlpCZ180OwzUXO0zk5tiSHSbDOmLsllsQsG53RN+1iN0Iy9yIkDkFui06+tjWQ5/dZthvVEk3oKOkv/nZY9TjRaYa9TAlHaEyWWCAlfUCAwjTp26AIh8z3YC+/50SozFaEEOCp3c907nvfJKavuo9UJTpJVgvjJoWsW4+jop19DtwgK4H1vk7X4r1HM090APNg5B57khxg6EoF2M9M6zLkgiC9cwCY1byLPRrfayTjDWGdYSvsY8jFANqPRbr1gTZjmheDfRymoucLyJFXTg4FxxG3BzLpptmdpgyrJsdRi9yJdY7iukKx8FPyiSjo3RotERJ//V2Q57qWUBHqI9MIr1z8xYDA2w/2jP9ik32uVmY7oHume4XxJDg6TC9cxbEqCOcIk4JU5rSvSJmZcd0lRjrqR3GsO7jrZdg3cdbL8V6izQPqxGRObjBCFzUsI62yBsFhdpxJMO60tmtv3OKYH1ROdal94m27uYuxVjnCtBYh/UZtvRd5rreEySrTEfQ3AIOI5TJIermqEtqmHk9cXNM7DA+fGaEdT8pyV/qHNZV2oB1sqVANyX98a2HPretTTIKSvoxf/qsuLv8Tt1dnutZ7i4m1Ecmkd4hYXJ3X77x52dtaPo1+43IYRum7zxtg90WbgS480zfPDA9XhCjW5jOTefTUsKUpnSvpExHSrGOKNbFszvDupBdsT6tiPUjFes523qLNA9C5nneDUaxHgzrMdaltvBC6RytmZkp7Bk+4o0C1k/hKz9RJm2kgfDLsE79yR+zteuFCmR16Diaq8gKIRTOIYl5PdhhuK0NRhGoj3Xd1p3521ElZDj0JynQnZKen2QkqroOjbJH5hn9arse5ZMehCodfL+uLm2TSKsDA7BfmL5ooz1XbbLvLZ7pCnTH9OvzC2IUmE5KrmeHi50lpAQrTelGKWE6Ai6F7C1j3SnsKdYngXVxXXdYHymhvgwfRZoXgY5YZvVulGgwFBuPl6IkUhlvWBdkBKyH5e3D2Kl2uVwX5ytkEdbEWI9c12kgJ6I50K0bsa4V70SaB+EsZOMsZl53UQTy00091uUWpFif0/FY59cU6Kqko4DLJKPUf1GVdO+T3nOCAcRClWx16b2v0QlHMyoDAwjTpxvTN933FoF4AHrM9N2U6RI8vbDIESm5nh0unKKpqvdM8UwvYJ09MdYD2SOsq4+jxzoPPFi/XLF+qWIdKIAGdG2wOK+I9fNK1HOTmDVQBs0R3V/sAIoVwzrVEIgoQYQaZlj3TM/Irgq79rp6WFejvLwD+MlhfbbDOm8UMEd+x9aukuyMLdNcgJ6DeCx1aR6uuVwgzijm9SyKgNhhgnm9EEUgj3X78+Sx7rtTjHXbaITp/FSlpCeTjEjOfxElXSaObjf4ie5X0q1ijScjcoAyercwffHGe14pQRljJX3/OyKmLxYDTjcynRtt57KUkKUp3SVyY9xDWIX1onndsF7mui5Ynxqw7iaaBqyDDLDC7W+R5oFBZOZYwfokj3VzgynBunBZaX6qimJ9ySmUAKzhCBtx6/hqxAE3AetssFOw7l3XaQ6tsBlJAbidKpzInasxmtdRz8NlVIkvb3rlTTgvJQfzuvNe9+b1HNbFDpNhPZjXOwTr7E+Bbkr6L3WS0e9ySjqfMjT6qvgvDnlmW4u7m0C2o4SSG0nJUQg7ZcKRrUR6pU44KkwiDdufg+kzNsyYHoDume4WxFjsFsRIbDhs2DWML2lnCKeQszSdGnuYOKa7hzB6Dt2dK2DdyB5jPfFxjLDufBwN6wt1dSTwBGvoAQlN8sRxGBKjgXrdJVjnRIJ1dZcOWDc0mwXmzqWn3oEsOZVj+Wp2mNi8bsJXI44em5toSpk007B+RWFGUicJ5btT1Kc50jqaI9nlTa58LLxrqQDFzh1RHhwmw7ozr7cC6xnT61pg2FOipCvTSyYZvSlKOtvt9F/kqEZSclTjwrFhJdI9V8mEo52mVDN9nDJ9ycZ7XpVn+h15pvsFMUoXrrPPThVOARP4JDWdGnuOZEx3D2H8HNrN81j3dhghu8O62igi87qMmgasw9+AdbiweNywhWN0LdMRg+EOPcA4EuMmMMhoHoTMvBKWaOxGig3ejZxdIULNT6S2EdZPBescFRR2j3Wxw1gDTfgqLQ1YV2VfsN61M5Io1pUc0bwc6C3RvAD07PIGdhdFBzbcIAc1oSg3auqxzk3kCmRYz0ZNdUaSYD1zhglYl06l1zlcZGV6PVWdPUWmszObZBRb0r3/Il9Jh/0sVdJtf4spPqQzhFPIhKO7swlHxUmkYRum73Lxhl9csvFeVUzPL3IUM53P+EqG7U4STmGpyfSeI3I/HLLtCczrVvbgZVjP22EM63kfRyE7TzvPfBxy3ZxhoANYhxRzRgyBGpw6Io5jUEJzE3KCGI5dOn4YpUmY9dRpXWpObcU+roZ1DgHrQWEXO0w11klGHDncsN5VM5Ls7LLdnTQf6AY5vFAlyrRJSeYMI6OmAesFH0fBurmuq3m9Aaw7ptv1tw3brlLSScPMfzGKBCBDo7/TSUbivyhKepIStnaXUBNZte4uXbVu5Sa7ztsoWZwo3v7ceGX60jzTFegx021BDMrZvmLhuni7k4RT8OjxaSmBS1O6RdzNsGfPPYGlWEdShT3GejRqqgq7uK57rEMB7wxjWD8CUsBoqMGpA4OMShmkVIxi4IycOawXnNapldR5oWCdzMEIk2DddHAyuEZ5YY8cG2EdUax31owkCsnK6TSa1wF6Kc1NphvWz3fOMDHWxRmmzHW9caw70a925cMtEKCXKum/ECWdDSDulfTPOiVd4qRvN7jnTTKKhbrZCkdfvl4mHO06N11wLt4Wps9Upl9dwfRokSMpp3ox0uRrZwiniFPCl6Z0vQjN7WY4XgvTHdazJzDcwoLCLlivNK/nZiS5UdMJR0EHGGFYh1Oc2gE9j6pA84A2q6diXSIHGNaFJt5pXSqvncxp6xHWhewO65kzjGuUF/YUsc5XWg2eHNY7YkZS7tiWaS5ATy6Ok86huRMNrEaZVEzmmiY+jj4yzBVtx7pjul15+6xS0kE2yrgF5yJlk4x6tv9iEOp20H1+haPl6oNYzfQdJijTl0VM90A3pssiRzDdFjnqAUznLvNpKeFLU7peHNPDp3v8ElU9xjqSV9h5dIXsHuuRHSZzXfc+js68noWFUR9HTp3QKqG5iYGPzA7rk8F65t0Ic61vSbVVW1cutx7rRR9HNyNJ2kjraBRt4T/Hgja5rmeHNEbzOkBvA82RRmgehNpSGvVxWM9COVZinXvRKNZ1O1x5UqmSrhNHt5FVRpXpZnVBW5dJRr/puZOMYqF65pwOjndftrH5q8QsNrFtYfosZfo1FUy/2i1c1+IiR8nXThLOEqcEMU3pYpF4LzxsdjMcqe3xS1T1/BOYYV0V9gzrQnbDuthhrr74eB51HnjBuo2aqnkdrANlxbr4ONrZDVV1aO5EsWhYR/eP5yKxXwii7IiwLg6OrcU67c1hvWJG0sLWYJ2cLnPUnKSlIq2mOdJBNM8DfbqGXaPOHuti+wLrLoRANtFUfUzbgnXXoziFKdqlTAfZh/9aXBgd08PQKEr6i9sNfWbbnrM6XYn8UJrQ/7vqyHjb5ntdJROOZGyzjp4+cf3Pz9pw90s23tuYHgF9v9sd0+stXOcvsonsib52hnAK7jKflhLENKWLRe93GdaN6YgDXER2259gnec2wnrODhNhPTOvG9Zj13XO3gLQHRyHzB0hr4GFY9y6SAYU9nBGzk41pP5S7eAJo37r1VgnuUap8DW0uhzrOiOJPx+0AsyR39etXPQMKc2RpKUiLdG8jnqeEDwWNbakKDepQ/MgVJ5CqFuGdfNxlBlJGdZlhCPBeh1PGIDuFQXKd0wvAB1emwvjka9K+FwX4EWDpOvqdNsN7mHxF4F4IlSv38MucrqshrFYVpdOWBxvC9NnK9OvzTF9P1XSZeE6mL68epGj7mA6N5fPkBLKNKUrJWM6YvfDtuXZy6vqJViPjlU7jGK9wg4Ddlf5NZKceT24rnsfR84eAy7DX8ZHAboJmRc5rB/DdtDWM6znQvLaLNME6z4yTKHr89Uaroe7Evhkp2A9m5F0HK2oMyOJ/e6nuDlRGzPpRJq3wtiS0FxEw9/TCkqjeoJ1C/hVF+tcnALWpZNob3EXWbuTXOrBT7mVoItMt3lGR/52O4Sv0BwlnQ0Lkj7k6c6dZNSQFCCeCNVzUXZvlthbuy1S/boQaDds7zBJmb68wHRV0ilEFq6D6brIUZHp4ckNws74a2cIp5CzeIYklGlKV4q/2WVYDy/8QDcTwzrijo0O57nl6RWy57BudhgfxzEyr/P/HS5AB7Buo6acHcDlCOj4mNHciTfakCgqMsJEnjDxEqYO694ZZsmpfHVYb2RGUoR1Wkr5hnWaQytgHPl9VUWkWmFP1Jwcx03aQ/NqoLeB5inQw3omulgVzaFYqpTFcfQzkrj+K6dkM5KqtfUc1rmSlDnk2W0GP1nJdIvYdeQrAvSjfredmNFfF/9FvsokI/VfTCHbBVIAdx2hhuL0cpc6p1+mdnBYXAi0G77uGJh+XcZ0gB6YHi9cV8H0blDVubl8kpq+6t0r0c1WKCN2Y2zbXviCNk+3DOtK9uhwVwK39qaced2R3bDO0+6wHpnXDetouzZqytkdAR0fS2iOoDAiZBZtPR0yzcI3UivqKdWGy2JFqYP11LxuX82GI4cHrOdnJPH/g1YsHut8HPm0jU6luQC9wHGTDqA5EtE8CO2iEOrGXRCs+ziOivXcRNMWsW5diwKN6Yepup0A/bCfbaUBXrYd9htluk444tP8F9lDSmnbSVIgdeNCJQ++X6PsmnP6fF1wrhBoN3zdcfIGn5+z4e4rYLoGZUyYbgvX6SJHpQvXxU9uEPbHXztDOEWcEtA0pcskZnqmqodP6Rz6aw7r2fo1iOxPChGse/N6XmHPRk0T73U1r7ul74zU5UCPaB6EzKj54gmT+q1b8ACHdal8m7BOSrFeNiMJqFnmhmkuQM9BPJY20RxpJc2RhmiuMgChgZRGDetjnVvMjRYLTHBwpDOoYT1gnaKGPr/tkGe2GfxEC8b0I17eVnwZX1Og/3Y781/sdCW9QOe2CZU86D6JsivO6StkwpEsOKcBcvnJiGxiX2H6rnM2JCf52ROAnjHdLVy3oZRTyfRuUdWbI6XdL9IDshtTboFxvyoWc1jPyB5KUJEDPdaN7EFhNzuMhBCQSUk57/UwaiqRYUYNpQI5mlcA3YTMinWZjkSBpidyIs6oWA+jpoHLrcA6wh7aGGMdIWc8I4k8JADHZyM0r6OedxbNU6BX0rwAdKH51LNFppzdLqxzuQzrFDL0hW2N6YOqmK5ejOjpR7woqroA/dXtdGh0287yXywQuZ1CJft/d8uD7t1Couyqc7otOLf9mGqmX7QBOviXLnVM3y9hui1cFxY5KjBdXpn5Jzf04fhrZwiniFPCmqZ0jVgP8HfFMx2xu5J0jgzrML2A9RzZ9UAKD1gPCnswr4f1NIIdxuaaWmSY+THWq2kehMzwBbhQSAtY96Om7cG6c4bxM5L4lQTFLp18zJLxgvUU5SatoznSLpoj7aY5ktE8CA2kcCosWM+vVa229ZyDo2B9lmDd/jkZ1ikhY/ovy5nOfjIc8WuZQTrsFXF94RO+c0hHTjIqgLgDhUpK9K5vb7HvreKcjn5tixNVBU9HMqbfoEz3QDemy2Kk8cJ1hcVIravrY9tU1ddFEcdSyJu90hvCutJcsC4ElO1Ssid2mExhVzuMN6+ndpi8eZ0KNAJ0EzI7rOsyGhTrsF7fx1GdYRKsk4HSXEO8sCc0P8Y6+0mmrfP/g5cT/xhsZ+M0r6OeJwSPRU3nOYgH6UCaJ0A3oXUUTlXn5NdIMqxzNwPWudER1uXtzrFwGV4PfX6bIU9XMl0801/Y9vBfbQv9xfXlle0ktMuvth381DbFcF2tkAJ5O0+opETvukccGc053RayqJpwhED8XedVM90WrrNFjkqZrt4B+sx2A9M5L58hJbhpShdIDdQK7HJYd0wPt8e2y7CeERBxWPdkN7jLsYL1UoVdvddjfxgN0gvWY/M6FUjYXUeswmj6lBBjHdrmsF7m49h6rIt1Xk8o2Xh1Gdb5/8Gpqf+8kfJO6kyat24gtHU0L1PPY7norGqs5x0cS7E+5Fll+nPKdF0+NAH6YY9tDbsP/7Xo8pAdDV0M6y/KIWarSUldXwq07RqhnhK9Sx0ZnXO6TSLNczzbHuWZvnITVHJ2Zkz/pmd6tHBdcTFSOnmkqqe9N/7aGcIp5CweHQlumtIFItqljVxlPSCvqkNk+azAuqirQsBKsmuBcmypwl5ph8mb16lAwu76Qn4OvGTCUajMwhRZcU2xHkf7in0cxbxeaYQhWatN+Bqab7+ats7FoXDFuowDx1hPOW7SjW4t7aP5lLME6CqH0DrD+lzF+sIM6yF4gGI9XvROxx6GeqYPftoZUhKmDzSmvyB5hOm/EaCjpPMOaNTwUiBs1wv11Ohd6siozum7zNQgLXWYPnWDXecL0/cpZfr1fpGj+kzvPlWdJ51PUtOpsVukBlhNgXVYt3vTGNYF4mZczivsiCd7wHpQ2AXrSKawR26OZoexgVMUPf7FQwczr1OBBNz1hfyo+RxOOeK6rkwBKGLS9eYm34SAdTGvg3U2YqyTjdLclVHhq+0kuSsQY109YephvetojuRpjnQMzQXoJrSuFOv83wpY57ZGWFemP+eZ/lQ50y2Rh09QLiOlqrMPfqIlw0sBrN0o1PMgc2S8UZ3TNZhinUmk248Wpn9h/kZ7JEz/ZsR0WeRIFq7b6aKSBaZ5rPRxds9veGBD142/doZwCktNpneL6Hz6aORKOgE3JmI6wo0px7oRPIf1emS3w4PCbmTnjRLsMDzziR0mnpQk3aRhsltmw7q6rh9rFgDxwfCjpoZ1aYU2oYB1DR5QjXWSmebDFWA7w7oGRSjBeptojrRM8xTolTQvAL2NNA9MJ0MjWOeCGNY5JMf0ZMKRBr0C9KjkbJDQ001JJ78Z31OOIwWedrtQz/7f21Kid5kj40ofeKt6EqkwfZoy/bJypu99nTF9o3gx0lAOG/GzrE9rd6rqpIQ4TelsqV19cWbi1K6g/YB70wDWHRAFao7pDm1gvUh2u+VarGLdW9iV7Hl/mBAfJsG6ROilDgm+6wiZF42R5ZKBS8A6Z4mwLo0twbqQPcO6tCL/PLBtX9mvV8CVwLZzcCzDep7mOaAnBI+lx9IcmYycmWGdN5Zh3Wzrl0yQZTQ81rO5SOR3TC+dRBqY/sw2ZGBbRkpR0l8o83gpkLTnCPUUpxdzZLxOnNMl8Nb01AEx3obRO8P0BXWY7heuq2B68iyHpzXuuvHXzhBOEacEOk3pVKld5ZdsLmIdNlmfQLgxYqGrxrrQfLFKBdmRQHYrQckeKexqh4n9YQLW4YJhHVK0Aevo+IZ1yEKxV+WxLm2JWmFYF6ZXY90+bYMULoJiXTYo07DOiSqw3jDNu8mtRaQBmgehaRwiWNfgAQ7r42Wwmv9JXAEu/hWG9Yu/CpeN6S4wQDKJ1Jj+C2E6GdgOKSj1CT17plBPF73rVu+cPi+bRBqzOGwL06d7pt/kma5AD0xH369auC78DdUHuXtV9aZTY/dILefwl2C9TFUvwXpsf8hj3dEwInvAuitcFXYjOwq7s8MI1gWF8Jfqod8Z1t16Ghp4nTok7K4jZJblTIuu67Nc75e25LAe+zgq1iUuo+jgAeuZzJc9GdaRlrHeIM07062lPs3VraVBmgehaRxIDQ3rtko1rc5hXd1g4LUyXZA96ImtD4uZ/iPH9EEw/VnHdNHTUdIjvif07JlCPSV6lzkyXq1BWuZutNPU1Ageb/NTC0wPC9eVMd09yOr4EB5k695ByBZ/7SThLHFKuNOUzpNaMHS2Eet6/yIt1WO9lOwe7rwG7EArJFbYY/N6jHVwkIQQoA4Ju+sImXOu6xHWOSPntbbY+4kKg/XIxzHDOuVkWOeV5sX2y8iBXQoVyqRkmqNtyTk41gF6G2ieAr0+zVsytrSB5sikM/sjNI0SqKrHuoT64k8Slz3GukwmgunPbYMmLkz/meAvZTp5YPozYnAPTA+RYRJ69kyhngc/4BwZxTk9P+EosDje/hxMn+GYzp7Y8JIxPSxcV2A6/3F5dnqIqk4F+LSUcKcpnSc1HjPBujLO/rjFWE+YjnB7iljPtFQluACxjOxil/BkJz9Hye33p+B0nBTh7BnW80F6Yx/HjnFdj30cfVuontQ25+MoWOdwKm81ZzsA3UT2uEvhrgaflEnJhvUrA9bVfJSgHOkAmiPtoHnspJhIizQXOUOEplEUdQbrXHZuEzcrxvrlU46F4+LLaExPJhyplZw9xn0xvzztma6RYZzTSwGgPU2o5CHf21Kid925uQvS4icc2arQgcXx9ufGwfQN6zE9WriuuBhpZkoNTHfKWTcw3SgRUoKepnSSyLUOWA8veTrEDXMEr9wVaGXMdWI0j7AuRCvHOhwsJTuSkt0KL2DdjZqKM4wPDmM+job1truuK9bFDuB8HB3W5TXmsS4NiXwcOVC0df3PQbWt1wagyzOjLzz2x1fDsM4fYYf16YL1JV5bT4FeQDlSQXOkkuYFoLeK5inQG6d5EJrGuaj87Ajry3QukmEdddsxPZlE6pX0w366lXA/YroNkAalPgFoDxQqKZFedBlScWS8YpPdlogDYphwFFgcbzumL4yY7oFuTJfFSHXhutLFSMNTnPzhDs9pEDLHXztDOIWcRZ8LUoKepnSS1C69SBaUUKy7+X4AzmHd/3ejN1i3MCG/Mb0a62a+EN22BbKXYT0L1ZtgXUdN81hvo+u6Iaa+67q0hYYo1jkkM8KYYT2HdQF6KdZVvsGFkreULHonWOeaL9FQX6SGaJ4CvefSHJmoQtM4NU2bbWuZgnU/xRSsg+mM6fEk0sD0n22FSm6RA0C5MN1HhgH3ZEgA2gOFSvZ/ZMuDvrMFXA5O5fGEo8DiePtz41tiui1GWrFwHQ+IMyrG5pfuU9V5mvgkNX3Vu0yE5qCNy71ySrysRC6KntE2FvK3FusmDu4R303tNazT7ShKsG6jpuoME7AezzUFi9ABRrR7RlIUdd0/CZydmmRYVzO6mdezWaa+zvxkNA8ie/QnLUHJnl/LlNORB6zP1ZokKDfpXpojVUBvkeZBaBo14aU1xy9RTZMN69A5MD034cgbXg772daiy+uEoyHPeqbrC+DQ3sP0fg99+sBvO0fGPcxZJZpwFFgcb+8wfn3y1Gf67it04boypvNoaGd2FkWPdffY2kMahPzx184QThGnhD5N6QypofYq1iX2t41fqd4qfSJ61bs+kUlkganGurBbgK7qbTncPdYDIimEohKsg0KP9WxJDard5hlJCJkXZYtp1HNdJ6fUU9siqvqSnBuMdVyjebg+usdfDS+GdS4sv9IKrjn/M+bq0k4dSnPE0bwO0NtE80qgJzSfeDrSj3ZxFPUxrOtcJIf1wPR0Emlg+mMZ08kZM509CT17plDPfg9+Ojgy2sCmgNhPOAosjrf5Ncf0COgZ06sXruOhEFU96smxWmZdOgj546+dIZyCs/NpKaFPUzpDPNN1YQouesA6fUJf9S1gXeErwjY7E6wHFArWq8jeeqzD34D1znZdJw+10leU++eRWWCifxjW/FjYY1fDXRCfjcSF5USrpn2F8/J3YY4ujdSTaY60iuYmEzzWqefM8wfSTMW6LPKH6g3QHdPDhCM1vBjTLdiLY7rGe5HMIdJLAaBdLNSho5JBOXC5ZabXXYyUZP87/fNbz6nROmSyp8PFahVSAqCmdLjInzWvqosFhk++1vFujIX8BnQTvrKzCuum4UZkr8C6uTkmWDcfx+oZSc513YfnTdhdR8isWB+Gyi8Nj3wc+YkkLSprTinWLX8QvgasWwY+aRFtoSHyn0PWMpUlqmdfKFgv0jwFen2at2Rs6UqaB6FdFE7lZ/rwjewxoKOAy4SjiOkyL9SY/vOtITh5JLPGZRSme6U+IWx7hNLakJJCnDyaCXlsgPSAu5wjo4A4WrUugDiIfTWm77Zooz0ur2a6+rlXMd2eXx6TYEvUh7epqq8rUrtiqpDRY11UdXT2yz3WpVvUwXpeVUf4qv1G7mXKQbFHO0nIXgfrnMKwjgjW1ccxnZE0JV39jmok7K4jZOYQXgnLJ2Yzktgpao62mjp4O0xOYZeaU2etsGGdbHYFgvBVjp2fe3ikLX4uEm8mas57ZfYFg8gTAz1Hc6QdNO/YgdAymjugxzR3cppgnRPRKIscwFdjuvmbZ5NI80wf4pkep6pJpPZrG1JSTioRpitky1KhZB0gVUfGG/2q0DbhSFc4CiAOYl93mLj+LjPrMT0UVboYqSUb+Xc6mT252o3pkN3CdHsQQkoY1JSOFRkotxk9ZoExrLMN6KGbvO3Nu9FjPdDKSV2sI4J1B8FWYV28ShA7RRHrBsSAdervsX5ke7BuPo58pfBsoMm/zKQ5UYukzhHWrcKlWCflniUNCENDaAXPHk8g56UCsxzWK2leAHpX0xxpFc1Nxjusu8gBbAemZ5NIveHFMd2CvXg9XYzp+gLga2lKWVwlKZFLJQV0i3LID1KhSm6A9HZZWjpbbW6Ki9ASQBzEvjbC9DqLkQYLanh4i+bT8GyakD/+2hnCKeQs/llIGNSUjhWJDWBGDK+qO8O6Yj24wSjWI+/GnFRgHeF2xhBsEOslPo5arGGdDqpYFyDKjCRxXe/IGUl80nauiY4V55xhpEX2F0T/f9ggMELrQm1F8ljXgu09lz1OfDWsm3cj13/ZhCMXjBo683xBXmfTHKkCeqM0R+rQHPE0N6FR5KdWM4Yfhq7tmB5PIvVAd0zXYC9DNRiAY/ozFZNIUyKXSkrh+pIAug1CJQ/WAVJALE4vfmUimXBUPYkUqcN0voYFpqsWrqMj8YlyRgdGLzFV3TO96dS4TogsoWlMzGF9ksO6/Imb/hWbbGlYj1/4TgpMR9hjv3JHOwbral4vYh3sCtand+SMJPBKOdb2xIXAPRX5RiEJ1skTroBt2GeCdd6RPHI0gfpT+WXjj5w/aujF5w0kczXNkU6iuQd6h9J8/GkHm9AojqV66ODOkdH8zcuYHoK92Mwjyfx0NOGoOzBdIt+vFCp58P0a6UWdXtQ5XaPj+tn8AcTJdsz0fW7WeC8x05MFpgtMp8fyuTyLQur/a/YMVZ3UZHpnizLdjTeqBWbKMYp1YToKO3tMY4VrhvWkc4iw3QDWVbH1WNch03ZivXRG0uWG9da7rs/1Qv5FUdR1ijV9R56NqO2xwu6wHtXWKkxRJKu5fdUD9VgVvtIQSg5Y521kU0zr07wO0NtF8wLQcyhHPM3LgZ7SPAO6yKmCdcqE1xnTbcJRZHhxTLdgL4HpbOuMUzfhqDsw3SqhkjJAerdG77omiqToZ34GEOe2R31qh0n1mJ4tMF2xyBEdlV7Ehv3XdKp6TxkpdU8EKcFQUzpQJECEYL3CAgPcDesZ14pYV6bbDeMzFva4PuTx5xTbNmGdjkhRWnLAevmMJJrQoOt6QLnICCdkXuSjrtN8Lo6zw9iU6/jZyF5XJVi381pOk/BVyS5CcwzrXGFORM2ps71aUpq3pJ63geZI19B8nBfaZbx2qneR6Trg6ZiuxhmD++CndMLRT+TXFMR1pEDbjpHvtSBU0g2Q3iQRGWXmZ1jhqJrp24/6FNDfZdaGKPVVTM8WmC5jOn2Jp4ANkqnq/rFtzj9aV0QGAwGWw3reB8YsMPDduOasEFH/MENEYLpB3DaCsMchTPEnZG8d1vNmDe2OWnKGdarksZ6bkUT9DetF1/VSlAchJ4mXQfBxpEz9J5szr1MNaVrULhGPdUowTZwNuUpekq8I5fAPwLwbOZHDulajQZpHxpYcypGeQ/MgMukfpqvq7SYcBaCrkh4He2FDjDBqTCezY3pC2PZLAcpV0r8BoYYNJiNygPL2owPTNxamW6zdmOm6wLTFjQkL14Vy2KBnXnPx8XQhtlfqYxt3WmV696rqTafGTpcapBasJxYYmK6zkCAaV5+vUJIMrn94rLv+UZfpCDtdNwr4y/utN4J1YaV1jjbNSKIOhvU6KDeZo0JOUvBxpCjDemJepxr6eEjFrF1WVY6Na8tXuwImyVeEttAKSjas8x5dPHaYzUVqmOYp0NtAc6RAcwf0FOWI0jwP9Ijmp6UoDwKdjenZJNKE6T/bSvIEpmsYL2H6z7c+VJcqTYlclAKL60hC5Hry3YaEGoYBUnV6Ue/D/CwhQzApbPO5/RhhOrxugem6GGnpIkf0SToSXYhtkrg5RE6N/MUMnRaR/umFzPHXThKrVUgJjJrSISIBl4WD1RaY5ZOO4uor1k1X5a+cx7q99gsEj7+asDN0oyLWoXmjWK8zI2l2bjENbYjovNJ3NLhK0NYTiAcxmkNSJzoPKPZxpEBebJRvD0mm+EQKuwFdq5p7CbHTroBJ8hWxp5GSuRf8YeLKyxRTrUPKcZNupDnSJpojY2H6U2JLMXOK+ZsnhhcX7EUdGY3pYnh5YuuBj21t0E+gXJSUxVVSwHGHCDWUAdK7t9j3ts1lqbnLS0Y1DcGksM2nMH3yBoHpX7a162KmX+8WI5WF6ybnmM4n/VAehzlf46Hm4WWP/MP2rmuR1bQ7VXUqwKelBEZN6RCR9UgD1rn9VRYYPvkqriBuvFR01TBmmAj5kz0IO2P2ea1WeN1mrOvrRLCOOKznZyRxUv6BUvkw0bSI9RTlSvMgZOYQdYY5iudE/q/Eowv+IaGB1jTyW9OE6d7LvnGs0wTBuno38icpTDFtkOZI9UBoYzRHOo3mY085CBG925juJ5E6oAemW2CAwHSUdJguHjJbW4YUzYkUINteeaR1Qg3FmH6XDJDufU3m9BJbwI3CpLDN5/Zj188x/YYKplcsXEcXsseBXoT+wR56LMpN0EJCd3VPYncwnVPzGVLCo6a0X2SgXJjegAWGDXaGLgLR6DrBBJEI+ZM9iN5E6Xl2g/NYF7K3DuvmDCMlp1inerSIc8Ff09aDESYsVF2C8jzNgakJmTnEnGF4yRnWebep+uP+r9hFICf4Dk1TrLuq8vxY22ORPTxdkVAOTaBkbgRXm/8HC/1cJAN6m2jebaZzk0BzhIYY0B3Tzd88z3RAL0x/3jF9sBpeBv1CnF4G+Gn37ZUCiNsv/R52Qg0PvHeL/e/wA6S2LJFR2E8ijVkcPiG+MH32hrstKWe6aP3Vi5HSx+iEdCGeyqtmmFPjUTInPFPVm06NfV+M6ZmqbuptaoGZ5Cww5gYTK6pVWCdzsicIP4XO5LEudpgWsO7J7rHuLBvSNaVYh3Uqo1iXaC1g3Rthcrb1hWMO91gvQXlM8yBknjdSFk0OzjAUS+HyqMyUf7VkIIkGJI+Ka5oT35v5iTyaIRPZEzGd60MTqL9gXYPFU2dqO/N8cVpvLc2RnkPzwHQxlCvT4bWbQ1RgOrr5UA3gJUx/SpY3kgFSYboQMwV0kAJn2ykB060SaijG9NtlKQyZyr984y/M32iXGRI5vTiJ1Dbkc5QsiGFM/6Ix/foSprvFSMsWOSLRo+iEKBkQnM7DHvl7HVT12PyiWO+mkVLp9qQm1jtDZKFxxfpXHdZVVResTxVfb491scAsn2hYVzcYxZlhPX75x0LmZE8QftL+JPfYbNCGdcDdCNZbdF2nfCpG9axF9bDeEs1nX4AMsmAs80YO4cAM635SEj+VPC0tYt1zXPb4bbs+ivXMDcac1m0uUu+luQlNcEyPJhwFoDumR4EBhOko6cb0n2x1iE7RTMjbuCTwbYd8OpOHUqGGB9yzxX63yVIY4k6+LBsgLWW62zamX1SX6dFipMVFjkjhQaAL0TltJ51f9Y/0abV+2I2quqUESU1ppzj2GdaBiHNXr7bAoLDz1fcSb6fz46WGpCDkT/YE4afQn0Ae4OsorFMyvVa1dfkL0gjWU46beJrP8kLmuSOGLBx9+BLv42hWS04h1yHCOjWR1vmmBabTXvZL2z3Ekfirvz7BDeYrnIILToXnjhwyffhhZO5QmjugpyhHlOZ5oDdEc2TsqSnKg6CYm795K5j+xNbkNKeXQ3Q6T0JqpMDcNkg9TDcuVM/CMcoM0uvEmC7u5DpAKkwvTCJlw7b56XPjc0zf+7oKpi8oXxCDDsanPgjCdPoPHZ49fMp/69Rlq+nU2DelBpHNAN24BQacsQfWuJd/bvglUEmEzMmeWPg1dCmH9YKPY+NYpxzDJdVAHNb9u8reUtYW6g/WbZapYb2M5gL0QPMgZAbrwceRr1wiCk+wbpdCWmdNU7EOXR/r4eJQwvXReCnv1MU+0nobaI50GM0bGwgtyhgV0JwxXU3ktChhOvtjpouQU51e+qv3dwHHVRJhun2kLpEHy4XqHXTvFjLb6GY/g3TxRjZFqJTpYZvP0pRjui1GWrHIEb2LT3qX6z9zvsZTzB6SPa10J1HV6zo1WiHJng4Xq1VICZWa0h4RowG3OVhgksHSKgsMG+whA4qkdpRKNxgyJ3ti4dfQqwLWE2eYxrFupaECUI0b5n7Nhkxdu6KYMAnWbRX/Fmkucv4gi7EFWy1GmLmuC9aDybLwzADxhOnh9ROYjtjX+OJQAvWn8tScavNCXTjmCLMCJShHGqU5UofmSKfRfMzJIujgjuk6iTRjugXkMqb/UpmuAbwE6Cjpjzunl/7qKdj1pI7l4LpC9Swc4z43brbXVX4G6UxxJ0cNr2I6afsxsnCd09OXqp5+7absj5nOS2L3FWKdLw2ebh2MDTqSPALm1KiqOv2HLspX0cCaqnqfFmF6UNU9/oKqnrfAOHd1iX3IbWjcDYbMyZ5Y+NV1rBKsu4BfdbHuRk0phxKkKCnWqeqCdT8diUbRrUNzilgnJcaWTM53QDexzAtGD0Vb967rBaz7S6HPTL5PmyNmGdbjK0MrKIQLK1ifdtxKdYPhXWIViGjugd6ZNG+D6RyJaW4Cx43p2aJFkZKeMV3z2IRSDlGmy6+O6QmI60iByKWScLlSHmhZqJ4zpttso+Ub2xr/xvR6gQHU9oI6//k51Uyvu3Cd9S426Fr2CPBIosewhyTDP82g6uuAKNNNVS9YYFAPQYliPW+BmXiUYd25wbRvvBThV9e3SrGudpgE647sHuuUELR17dCipyCC9WiWaYx19Jcc1kcOnaP+LfVprjLQvFDIv2DUUA7PY90/NtmlsCcn6tOe6datDeiIXYpwWVQM69l4KRWeP2roDB0v7VFOiokUaT7m5AMReO2YHhYtKjLd4gEY01HSYfrP1ZExML0A5aKkOK6SApTbKVTPG9M1NosfIN1xsk44aiXT970lM6mzETNd3hBlTEfYpvNY/6fnoH6xJzyqdKdi1KZE7YhL6yThFHIWT/YETE1ps9QEeU5VjwZL8xYYg6DHeqaqA3coLyxLxkvnCMhUHJvIHLZLRW+rvLrtfnus58zrVVjnwGCEkcOVmJQpfdpj3Vpn3o2KdWkOlV9uERzHDls4uoD1CpqbmBfKbF062bDOS0IeG+e6nrzh3MNjrZPnxzMdoZxwHZD8V3kzoVVReYrlRlDnpeN1vPRcGS/tRTRHRsP0EL/FTyKNmc5X2D3Y50E3d4aXx8yRcav+OqMn5XIiBc62V+5vhVA98Uy/2c02sgHSnadtsOOk9ZOQW0Hsq2P61LpMt4XrYHrZghiud3kt2DoP/ZDezh76Z/hXzXMaeqZTp0Ln9CXEXztDOIX1dlLTqbEDRZjOS9tjvdQCc1yqqmvAAIf1SW7SPDkzrGcgE5aZkDlsVwl5tHvJLb81WiiuDtY5RFV1ySlY1+4irJQCMwsMbXRY13eVtciaQxOW+njr80YOAdOUWZ/mQciZw7o6elK4Yt1mJMnDkzOvW5+OVHWqmlyc/FfFehgv1aU/JBrMhYOnnnMoObuY5kgC8ViqgA7NTQY/qcZ0i8kVmB4p6S7YS2C6Kek/E0fGAY+Kiwt5Uua2QQosbpschNyXCXVzYV7MmH6pzA+SGaRTN9hhYokjY/y1HtNvzzN97kayyFEheLrrWhnTnapOt2EPqhh9Xp/T9C+19cPuUtVJTaZ3oNSUd5mqXs9dPcO6Gyy9ZEJuvNSBDKxn46Xtw3qZ63qMdTIHC4wxPca6Fuixrm3kpUWHLmBd2mJYXxBhvT7Ng5DTYX1sOdbtavDfJTw/0qFFVW8Q63IgQjkUyL2gfK75ojFH8GeCbBU0d0BPUY4ozfNAj2jewkBoCvEgLdJc5KQDUc8zpocJRzmm6yRS8jwtTHeGl59tJY6MP6jL9AJw2yDC6DymWyXUTcK83Kqe6Rq6S2YbXdyy0wvCr+QB1hnTr9nUhdv1TM8Wrptaj+kIX/URkL+qPNH0GfbYc+pU9eZIaR8VceXOq+qRBabUXX1K5q4OwpZNOJKbURgvzfUYlYRT9YRsoYcF83rAujBdsU62YH7JMb3aAkOtFOvSNGuUtCjCuq1lOhesX2BYr0dzZIYKOT3Wj1Csu6uhOpGYLzmvYj1Ti0INM2kJ67wVuDvUnJKpMyfS8VI5e6M0R9pO81YbWxKaI1QVUhvTB8WTSGOm+2AvjumPS+iuw36qTP++eCiSJwFxI9IeUqfynUqhbubFiIoNlEGzLfAvxvS6A6SIMX3naRvsCtOXpUznUxauU6YDfWF6IXi6gdKEr3QqOo/2nGZQ9XVIlOlBVW/tYKm3wASQkc2mNoQe45neFqxLJ6vAOhlMVc8xPcO6dBcpQUrzqro0U99b/o0lWPduMLyWaMXS8cPAOnSeO2KIacFVQDeazxh+mAk5S7DuTVIO6/lHKFXV6xnWnarO4VQ+TESy+aV2dg/0HkrzjOkWwKua6Wjlg592zunGdLKJMf1HxnThpmN0l2C6YdkCoW7Oi/Fq80zXxSsaMKaLjFKmT9+A14Aw/bIypq/alPeEMN2HAwuHsxFAacIe+r91Gx5nOjl77CGVPtlU1fuoCNORDOt5C0yJu3qFBaZyvDRT1YVleVTVE7K5fpZgXQdFFejOAuOxHjO9wgKjHutUzFonr6tpwkeHdf3nscSHbwxYT2iOxDQPQs4M6xOO4iXBf5ow0uBMUqlm1DpVHaEEKk+Zl0+RiUgyv3TEkGnnimG9EuhtNZ23eSC0SHNklDEdoBvTwyRSD/TAdAn2EpgejOk/3OqQ723Zz0/UbFRS8rZKBNMH3duyHKhCxSy+rhheLMyLeqZ7Y3oDTJ9Yl+lhMVKdwRQviMFnoGQQdtKprOfQbXh+2UOSPtljgqpzCk6q9XIpIVRTWisy69JhPaeq5yww9ADBulPVvb2iYIFJxksdxbwi4KVRpiPkBHPWzwLWATf7QXmB6Tnzi+Sn00QWGGupNdMa6LHuGiUtEu9GwfpCnWI6Z8TgBOulNEemq5Bz9gV5rOsFsfdcqbaeSjXWXRPyhnWuP38seJdMPXsAOXsszU2ooTky1mP643mmP6bGdGV6/8D0FL6tEiV1S7A2TLcs386Eiu1/5+YSX/faTYMXoxjTL6o0pue+GtNnbMhRxvS98kx3i5HawnX5BTH4jEEZhP1BVUc/Qw9jD90mdEgbw9fe2J2qupyl6dTYQaJMN9glqnpigVFV3WM9b4FRd3VnWM/ml35Vh9dz/+/aiXUEWLMHdgvE1e+lkukLlemI9lTOaz3bNdO/t8y70RolQwXiBiNO64b1eWD9wsEzdY5PfZqLnCtCztkXDMqw7uMoNIp13+pwBaKv0gRrBZXnClNtCufi20Ski846hJxdS3OknrEl0FzlAKrnmB5PIs0zPU7Q/DBvTBdHxhaY3imkblyomBheNL6ueTHuOnfD+p7p8Vegv+Mkz/SlZUyPFq7bEabrS8IO59MekETYT6eynkOfp5Ozh05uTyj9n53h8XQPWncw3VSZkBJINaVVIlfQMCG8yw+WZhaY/GBpYoGJVXVTTvkpdBrKiRAWpHGsSxXZ0N4mt9/5OHo7jAC9PtOrLTAQVrBe5gZDc2Qukndat6HI+jT3ImYQtHveBxpyPcO6+/sC1suGp5z4hifXx3/NsE7N+ZNBsVR42XiZiMTfCLIZzfNAb4jmSPvdWiqAfoDINw4Qu4oq6cb0Q8uYbno6wrYwHXFMl/UuHNPbBusChdsi36oUKuamj17pvRhRqOt6McZ7yAP90eu/MF/19MIYqWP64o3dIkeNMR1G03Osz/AUs4f/082g6n1YaijpXMQ6qnrAerkFJnJXd1gP46XaaTjcIcyZ7ZyQ02hVIVlOy2zJlIjYDuPIXpfpLVpgaJ29rqxR0qKCd2OM9SqaT/NCTsO6DZkGI4zDergmCdbZiC4ChYRt/zVjOocL1jUUDK8NM6xTDbLFNOer7hGgJwSPpQMHQktpbiK8VqZnk0gjoNt6F8b0wcp0kjO8/EgdGb+7ZT8LqNLhsC4Aug1CxcTwct2me16xiXgxLsjCvLSopCOfGyvBXjiEAzl8jyty/ul8fvn6aJGjSRtYmVYCn66rF4SftPPL33GeaHoLe+iNQeviQfD9sDn/qC+IjJFyBQ0TQooE660cLIWDlBbGSzOEecO6dR0TcsbMUsl+TYTMJGOf9QOhtiN7YPrJEdPdMKkTPZBTSEvLsa5Ny4+Xxt6NVgFSfZo70dlAmRHGYz3zhCnFeno1clj32xnWqT9F8ZalZK65M6zrqQ3ibISUQDxI19B8pMrAX7TMdPT3oKdbcgOkMdMTIldJAbttkAOQe1oWauUWNrLpo0t1tucMWbnCBjNNyBa2k6+fG6eBAWZtuNvCjXZfvjEvBl4P+94iNE+ZbsHToxL4zLp6Xvgp6/nNoOrrgMg8Um4nF9FuOcIes8A0qqrnB0sd1nW8FITBSkFYZFjXrpOR2jhVXzSb2/CqhPSDWGFXcap6FdMVml7PlZZmFhgqWRwvVayLdyPnRQuG0WbfiGmeAv0cJ2RDo/dDpjIdSbAeOzgWse7xHUQbnnz1TJ8rB3KPuC+UyUuUU8SGdWO6u80+tZPmOaC3huYmgyw4VzyJtMh0DcqIsA3NEam3pv6PbHnwg2I6Zzshb2ulQVK3LHc7oUoyffSGzdz00cUuJEA8OhoQXPrVTSKdvSHU3n3Fxnuu2hSI73ur0Jy3BZ/xIkc7lAXarRJ+VaxLt6er82Cyh096u3keh2eTPJ7p3aKqZx01EKoprRWJnx6wXscC09rBUj7ZI1gvM6xb77FbaBtVIrc3n0e/em1Ce4MR3DT0aqY7r0GBo9dzrZlUzBroWufbRaN0vFQ8NWPvxhkZ1stpjqAsm74sWFcHxyUaPACsUzLXpArreZE91t4g+tVjXW8Wlac06kzhXHbOxUnJNv7UjOlypzV1Ms0V6J7mCdBbZDpfD9PAAJJHA+2SDlXvdVHSNXJ6SAmjTTqc1EHcWRtIe67axLwY3aLSfrZn4G8s2R5zTtdJpLwPeCvseeWmvCHIANAd0+MFMSqCMpYKv2rPlz5Dh6GHs4dkxkD3bHa3UyNitQopdN2mtEpqpkFnWG/NYCl9Io6unqjqYbyUzIZ1xy/tOtp7AqPddiJVP9n+osIeyB6YnmE98gSn1woQS7DuXlr2urJGcS5aBJEN63O803p9mnsR/8K6WJcLm8c6EggetzfszLDum3AC5XCRKZZbYIZ1akI28M1ndrM1JRAP0qk0FznxgBCca/ATPjBAYLoq6YfZJNJnXfD0oKQf8n01vDwkM0IPNE/whMKNSJsYbSk+tlTIs48ugmH5q5IjuJewB10+c05fsjH6OPp+JdOrA+1WCRl4XqTPWFD1yT11/pEO71kK/bYprRJZY9phvSVV/ZqGZ5Yq1odRGttgkTzKL/cvj8LpOiYRs9x2kNKdiB3of3WYtj4RyN4i060c39KcBcYZ1r0uA4L5/2FYD07r5t1Yn+YiZ4uQ07C+QFdHsmvisK6GqQqsu/aaUEjy1a6DNYHDKYcCuRGUv2ishIK56Cw5dYx1NkgJyk2qgJ7RPA/0lOYVxpZMTjxgBEz3AbyySaR5potjjK5w5PzTvRej1NunlOmtBzQpxnH7hQJzhhfvxSgWEj86Gvhb+tU5vQRHRph+9ab73JhjOi8Mt8hR3UC7pUIG7fnSZ3gGr4iCqtPhXQ+07te9QdVVZQkpcKopjUvNmAK4M6y3e7B0mR8s5VPGS83lI4rwZfAyMUIFWtnXZI8Tf4iJz6PuItIFXc9QsivcY6YjAeuq7Voh0tLQTLPAqGGdwmmatcsb1jOn9eAGU0ZzxNF8ihdyzjhvoMRbH304b7vGsJ5KfE1sO24C7yQeTq4zJfMGWjBaXBsnndGfnJbc/S4wvbU0zwO9IZor0PdH0MFBtmP6z8qYrqsgDX1+2zDnKOf0ono6+5OUELbrhTpkHi9tMLzA9OD0Yo6M5px+U57pIXh63aCMVUIe6/Z0GB5hlBX20Al5kOXBbAZV7ysi6yNXYt1g177B0mVgPZ2IlMHLJAZW2EgkZI6FzHxqBt8LfecwoJczPVbVI6xTMWsgxbrWFbDundYlyJeNl9aneRBykh8dn8MppxTremWyv8CJJFfGvkoTqL82gRKoNmVSW04xd6SLGWDsZsNSt9Ac4dTi0GJML04i9QOkoqTDdLW9GNPFpG7O6Q9vefADMreInxKqdqNQmdxUo9jjpXp0NNljTi+7zPKOjBpo15zTi0xvMShjqZBHe770GXra5erUyDNrDyadB60i9L1uVNV5NvkkNZ0a2yY13tIx1o0pXMpACqfDZqq6x3q5qu4HSyeovUItMGywkwxQ0nqPnigzrFs3ktvYGqCbcAifmi1V2JEqppuqbiX7ljoLDAVmDfRYd24w8v9jmDmtu/FSHY2sT3MnagkB6xyIsp9g3byD4lvgG5WT5PpY20MTuFMUQmncCAqnnrx4ODXZAse7luYZ0B3TFeiO6fGEIzOmW+R0ZTp5bE8wv4hJ/RFj+qcPVGfwhK3dJdQkN9Vo8UYSY0s9Xqrc0ot7sgFS5/RijozK9DsF6GxnwdNheksBvIpCHno+3d46DN2bPSRvGs0pW/I06ZPSXao6qcn0tomuUuiwLsgOFgCuppCiZb9GN1gKmzzWc6r6knFqWJ+QGdad+xQnilR1uYelQPcZ6ggH2oYeUt4XRYTpJao6Yi2lmRRlzSzBug8bYFi38dKZ5w+artN86gH9rAEXeSHnzPMN60cUsJ77w+QfrVSSq2RtD/82OJZyggWG/wS8RSafKa6N9WmeA3olzRXonublQC+juQl1MGM62noaGECZjkouqyDp6tLmn54xPfJPP+i+Hsd0MbxojJd4qpG4pTfGdNR5FxXABkjN6SU4MirT97lF44JZ8PQGAniVCjm150uHoafR8dgT/kPLUxl1PHtMmk6NvU7EoMYdNdTKu9pjnaspmPCwK1fVw2BpUVXPD5Y6I3I0lzLuQGTg0zYMVSa2sxEJJeiBjtraI6PuwnY10xEKCS3VZpZiXf9/BDeYC50FJuW4SUTzi846xNzGUeoF6yOHUILHulv0rhTrUbucxFfJtq0J9m+Dw6kzBZoFZt7IofbW6Uaai3x9fwAdMz0XGMCY/mNZ1UjsM0+LsyN7DrNgL8GkrrEBhOkaXCVha7cI1cgMLyvV8KIB0yUeAEBvjOnZDNJgTL960y/bAOmdmzum3xwFT28sgFdRyGk93zoMDy97SKZsWcfjeb9hrmG97CHqKqzHKWFWU+qLvKUd1rO//5EbjCdFDDtEeCfIq/RrNAtMrKqz4SYi+XOZoYNk2DLhq9Aq2tOiiJZaxHrcI61T5pkem18QDpfGRv9LXDM91u2/iPwL0Xa58dKRQ4NhvT7Ng5BzmmB90DywPlawLsPIZViXpyvCukngeJDQcKs/lacELjKXmhcGfylklTu1wBSBntE8D/SU5g0YWyppfuL+F35dBEA7R0adRGp+ignT2Q/NERR29hjQc3r6w5E7Y4GwXS9UIwTX/dKKLMbL58ZlTCePsTuWeKebbTRrwy/oDFKLCuCM6YHpIXj67EYDeJUKmen51ltQzugk7LG+J49kU1Xv/eIiKfKiLuqJhvVUVS/4NTpNNvZrLAyWGtbZ5nQBXuwpkoudbQA6JSAcy7btV955fIsY0MuZzoFSVMHhp4h1WkfTaBeNcob1kZlhvT7NJyNnipBz2rmHchSvBAqpwjoVKMU6IlepgHVX/6IFZoxMLrXztkjzPNA7huYmA/NMpzIB6BnTf741NB/0y61R2G2PAN2mHZmLug2T9gymU4f9w3LSl2+y+zK3Up0F2KrD9NweC7EbZhut2AR2733dZsGYHjFd/gcI0xsL4FUqZKbzW7enq/DYsockf6CbQdX7hIgLOZBSrEs82AAUwzpXM8Ec+4XpCruMd0FVLxssNaYvjg3rasjjWDtRQi5+Ctv1RYEuxwbh2HC48i5T2FNxTHdTeKyXS5lGRmlyKdaldTRNsW7jpc5j3Uwc9WkehJzkB+vzNSBMwLoFzLO7EOxg1MfqFkuotom12mrOnaLalMO9oKoUzll460w8vR/ZOpDmCvSU4yYxzU1CUEZhejyJNGL6YT8ToEP8dJbpo1tm0450mJRfE8J2vVAHUdKz0dFcPABjOnkyfHuJd4pn+qQNQojdMNuIksm2/11bIGx8+cbNJCa7Bdqd3GgAr1Ihf1DV+bfN88ge0SdKnBq7U1WXszSdGlsvcr2UJjpSl42XZnoiGYQUxvSW/RqV6VOOUayXqOr2SSKnnCucSEkaaGUbdcSp53mgBwklKO8E3BnKg2RAd3BX8eVrORHWo5C8+tKClWaBWaTjpbPVsD5NZ2/Wp3kQck7PAsIo1tU2xZXxWNfhDf3DFP5/BDGOawPdtu3XasvN4u5QWwrkFlD+3BFDpmr1Oo7m5UBPUO5lP0gtxvRiYABhusz7V6brAqS6thF7DvnBlogAnQ31e+k5TKcCOSU9jI6iRI+RYc9GDS/mxRjCMV7uPNMtblfG9DjQbsMBvEqF/PR/6+p0b/obe9An6C30Onse6UXWx0wl6hamc2o+Q0rI1ZQqqYFdrhef9t+f++qxnhsvbVBVLxks9UFgbLCUZDopGeQV4o34jlweXmQzQpVKfaCbUELgoFJPkG0dNDCdPNlXv5Ns2Vms1TQ5j3UaSOvCeKka1jMLTIs0n3Rmf4ScU84e4KaYgvVxwyiNG6FYd3eBKxOGN6xWsVCCAd2Er+y05lNtDtRZSDIGQMlUkhNRMbJ1Mc2RC76+n4x/NsJ0gK5Do+w55Htbinxf5Xs5pne76wtn3/fWCiUdpjempOcML+bFGBnTD1Cg55kurw2ZnhoVxWcCxPoi+aORUp5B9tCZTZngeYz/OstTo4+GG5SKC4m+doZwCktNp8ZWiYyRcr0uCUs3qEmX22watAOKYb3ar9ENljpVPefXaGYKmEIJYoHRGIeqk4aJSO4fX4R16Uxk47MojQDdhBL4tKMC1k0SoNvwaRhB9dn0dDmsS2Pt7aVYzxvWI9fGBOJBjOYiZ4iQU7Dup5hyfbhQdiM4hWA9soOFtsRCCYHpCF/ZKXWusMDMPN9NLs3TXIHuaV4O9HbQ/IKviQzyARcHJ4EBAtN/JJ6LaOg2NMqe/t8Ve4sIQFdjer8HZYy025nOqZ27S6KkXySe4+KU0piS7qaPXrzhrvMjw4v3YoTpJmznAu22j+kIh2g/l0eJR48ewh7/PDody/obefwz0i0jpU5Vb2K9cRH/dNjE9QJPDutuvNRp0AYUMiSqOoxTpjvS8RoAH4L1WFXXEUW5JzpAKgZoNVbYV05HNj2XO5G8NiIiB3IFcUCPwF1HKIpC2AiHK/iE1+zXbupQnutMYRxVc8pJPda1vQ7rvLpooLyxJhy1ROPxJhaY+jQPQs6pZw/gKJuLBNblRpRNMbXHjOaH5phQggEdYdt2ujqXWWB464w/TQzrHULzESnHTXI0d0xX33NEAgMEpqsx3ZjOV1COqm6+Lof8QHbCcdRzExkgDUzvVndGTu2CAaza5EsrNrZ5Rk5Jh+lqeCGPkTeWZCf5s/i65vESGV5ipu993WZ7hEC7rQzgVRQOoYeH7k1/Zg+JJxdNQv6j9zBV3VICr6aUSg1qcCPNAmM0UayXj5cq1stUdcO6t8DIYKlX1TlKwBdZ1U1VN1MDp7N/fIZ1uEn51pkQshmhTFoLdBMKkT2+EAOfdFDfb0IUgRD5y/2kcK/AurSUmtNALh0NSSwwaN+cpT7NJ3ohpzmte+/GLCCM/WcKd8FdGX8prEUIJSRYd1dA7pQtcZdZYMhgqUFjS4NuLV48zfNARwY/KUAX53QJDFDBdFXVATobjukPfVrkYf00w8t93cx0zmtDoxKxy3zSdS3pHXXd0WBMJ5uRN5Z4J9myBUjjqUa6DkZyxhA8vbWBdquEo6R7a1ehd9mjyqfoWNrfTIegL9GpPNO7RVWXLm0pgVdTSkXiMoIn7iUc4aqZ94VTEiOsK22Fj4K2alU9ssDIvzmS92t0VnVU2sVjnapuOimnM/NxOBHlG7zIE7DlQBZRu74EpmdY1w7Ktukd9BgH8RB7vRCqlzwJ1mm1Nln/lwTDurPADIssMKKqt0hzJ6cL1p13o65iKrapyA0mYN3ugrVFpIzp9gyECnMxOZBCqKq9uWMLTH2aK9BTjpsUUG5STnOTPNPFtBIML47pbKuqDtPZMKaLYv7Ap+XTpLuZzkn3+6ZYXbKh0YXeJ338+mJ4aVBJH5UtbCRu6WF09MbNKD9pGl+zQLszNoyDMloKEGxcOEr7tvQfnhGeWStKHkZ1ahQdwvexTFXPlxB/7SSxWoWU8KspRZGZk/CCOwpBuGRglycfEOexnh8vzbCeqepIrKqTLajqsVXdVHWwZQojOmk2XmrjM2VYbw/QTSiH/XzSiaVrzneKuS6NJBIWNfXL4Dm406vyWJeXmTWZCtNS2shLi9bRFrPA2ORSczKJUY4UaT7x9H7mYjj5rEOmn3tYWO5OsJ66wZRgnVqZWNOC8NVXWP5eoHmxh0Q9vQXmUFsIKUU50iaaF40tQc7/2n6cyAVlNKaHSaQ5pm9pqroE7QpMV4gffL+SnU81vMii0t3BdM4oQL85WF1kaNRNHJ20vlPSK4CO5Pbb6KgGTBe3dJR0cUt3MV6KJxWmh0C7GsArlMZGDMHGhQNv9h2b3mUEoD+jrLgnsWeo6ta9LSX8akpRFNBuioqMpHHVsvFSNawL1pUmNoxJhojpJaq6XvkasONwx3RT1WNf9bFHLBojqrrTSdWwLq8QVUjlRB7r5Gk/0CnHigq9k75i6rkQfLGT2yORPUr2gPXQ+wPWuSzQNhjWYwsMaA4WmPo0RyaokPOis8QNxsZL0frt/ao3IjOF2ZNGo0J7qZUJJZQwXQdL+cq1lVvsIvEezn8CTsf+MpqXA73AcZMWaG7CiWTS/zOyeHQW7MUbXjKsQ3mAroEYD/m+GNDZKRBHUM9NUNKV6QfoKqAx/jpVOJeMixrQ1ddFrC7z3dDoDhOckk42R+2CyE/qD2NKemk8gFIlfd/bNkeF332FBmWclgvgxWfAX2uFY1Vfkc5DJ0GvYg+JjauSoOo8NfbvtjuYbh4NISUIa0oior1yOyEF7Aas6HFcNT55+IOSGP77wzIDRIx19ivWnSYYVPXYqp5X1YfFqjp8Zye/GtYhlzuRYT2ynDQiQvBEPNBJ2jszw4uo50LwU0SWiNyhn04WnxKwLnaY+d8IWJcrZlifIUs8c5V4b5lrI82BmHY6Sy3SPAiZeQ3E46V2ZbiA8sIL/5liHyEVaoVweGA6wlfbSSI/B66aZhaYoyh53kibhSQWmE6l+fknIPtyFlHSdcJRFuwlYvohkfklZboSHGEjKOmyUl0XMp0TeaCr8+LKTQDxFxZonPSpCnRR0usxnf0hkc0p6dncUQnEuM8tm1lYXZrmxJh+6+ZxoF3xq+kIpiMcHv6D0rv4iu5FJ+ERNu0KDcY6WGZ+6aaRUl4ntpEgrCmJiBYMHXjmIRTg4P8XHOHCwV8bpvNKYhHrssFXs8Cwhwx0C14AgvV4CpIwvVxVN/zZeKkzH+exDo7pUuQxeNWXjOOxeKaTgc+E6aKVC8pPLYjyHaybwu6xHh4Abbv8QaG9tJRmUn97I5KCD4yp6i3SXOQ0ETJPPWeABfkyrMvfpuAGo1jXi+P+FzuptsDYXxz7b8Gx4uZ0kdxi3qkSB+acAWN1IaT2u7UESWhuwikC0weGYC+Rkm6WFj4N62yYQzo7TSWHbnDc4N4qppOnKiU5S8Vy7neb2tCvk3FRdOpgRhdfl4nrf268c3chZ4B4IvKTauhmnCHZPKNMSb9hM87CfkdzL+zZ95bNOS8nlUC7U9oeGKAoHM7jQFeh89BDeADZQw+hs1lP4xmk/yjTm0HVe4f4f+gFCwyPvQ3TxTQJWCeDHKKqulzpmoy18qvDeqSqc7jHek5VN6dGU9UdvNSwbv8MvLUnssAEflVLSnOTcLinXmA6sIbasPvOpacW5a5lpwF3Vdg91hdmWKdkj3VpL8VaonW0xQZLZ10g7uo2zadFmo9XIeekM/tPO+fQWefreOmYI5Yk6yJlWOfKtIB1tt399a9tDqccbgS3YMFoGSydrDNaU5SrFFCOVLq1mBRp3lqmK9blU3zSH9nyYF3YCLbub459MXD9fBzLgNh2kixkipM7om2No1JMSVH7fXNzmVt0o0TTNQ0dtkqsrjmyOt2Okxu2urBhVpex65u7ixYvySzp/AlIlfSM6VlQxh0v2kAmNHUw052mEnoyjyHb+qfQ6VVkMH1IsZ4WEn/tDLFakZpMb1Gyf16mytkzD825cIL1kvFS9/YmA4fwyVGmqsdWdTKXqOpJBBhhulPVBevjh/lRQTmXnchhvQFV3RG8TOxYmmn9kq/0kojpjuCx3H0JcjrCT05hNzsMPcw/A5RM3SiNxHuIlooFRn1gioOlLdLci2jNcDaMl9qQg2K9OMIhzxvVsCtgDUQo4SZa6rf5lOujTjtcVUrgIlMg19/WQrJ3ScfQvAD081QkgJcxPUwiFaDnmB5j3ZguDukPKNPB9x2b73d7BGVd/SfsJA8p/on9It+M5DYv8U7LZiX7ckhSAjS/RdTzL18voXQhr5lcdlu40a4AfYaa0VHSdWiUQwzfRXE/mZI+dn0OyaIwqruLnlD+CvCZAB1hJ7gXpvsAXlJUBzEdoQTF+tdvmCtOjTyt7KGH8PCa9kAnt94lqnr3jZSajmIpoVhTYpELxMXihhmhuIU88/b3nJ9KxkvNpKvGFhKHwHdgwYGIML31qjoKI0VZPHE5Ha+QvBtMi6q6sbtU3IEuJLT8f2QPvcQGSGOmG8SRe5YjZ3wLWXFmDuuLc1inHJKBktrSWJpJ/U1VX+hDNk4fjqouFpgWaR6EzGj3LmyAjJc678b4RoR3nqlRJrQR4XDbCF/tEnGzePtyd7gpKybLzFIuvg6WZqp6AeUmbae5Y7ouHl3F9EMqmC56+oPCdJKQN8GxAhol2jYkj+7cV3c6uQWRGIcIZAwSdkqGkFkLscMl242bffkGUc/F3nLFJjIoukxMLpVAV2o7KWM6OVHqZWj0Yu+TvlJ80kMURpLYlyJxTA9BGdsd7KUolKBMd7odvYs9JFOtsj7WDKreS0RuJxfIbid3DoACC3vm2W8aoh8vFcM6OjjU5icz6bKhpKj2Va8frNExXdbjpyi+AsRgZzA1gcI5RUbnMgkEL4odZXSzHmmDLRHTxfYC0+8RmsNxQfm3kUvPvPfSs/gE8XctcxZ2wbra1ilBVBv/IqSqq6ZVqurTzjl0kgZ4aZHm4089eJwKmW28dM6IIYZ1+9vkbgRY9yMc8s4LlyLiuG2EbblK3r+eW8MVpp7cAioZBksLKEdabTpPaC5y/L4ugJcudhExPaekI+x32yHAS8R0ZbQHcQZlEahHnozaN3m5UdFsckNedKdkCJmtEBRzfr3e0RyYigF9+cYg2IAOkXeakjkvcghs3X50XjzZ7VcB+uhP7TBegL7zdB/dRSeOxj7pCdBNpEo3branBmVMgr2QEvC1TSgnjP/zCNPH2EMPoZvRx8zVip/I0FTVe74I0/NYVwvMjMwCYxqi46xinZ1BSWSb+62qujAdMaZfZUyPVPWVU4px1b2q7pku8LKJSKaQem1UVXU5l2CrTGKIJ2JHue4YBki1iyjTTzam3w3Tl58OxJ2sPOs7K8/+zmVn33fZOXyF9UDfFHYOJFGIs8B4mwbtTVX1wszSRmgemD7xjP7ZeKleGYqV/zHqzs/FsYFre+RoqbsadbFOThsDoKq8YimQv0cyWHq2GyxtJ81ToB/vJGP6E1sPtMAAZUxH+CkXtEuZbuqqqM8Rf43XJiAYIY9tmKD/qoi1GkCXi/3qhRL4hLOO5peLei4G9MXq5TJbNPSdpm6AsizjogHoqoOr6GApEs0mtV/Jv+PkDXaelvkvoqRzFurJK8qM+wnNTaRRN/qgjDA9mkRKCshrj1AOzwUPCJ2E/kzfsMLl73IzqHpvE7k0dqXsjtpjz13kFQ07UKj5STVEsedKbrUdQ22jrcO6ml+Kqjo5W6uqAy92mkIaupT9J6C3kcGRKy+B4IlYftoV+qLpF7cuNKaflDH9EmE6Wvn9l59znxe277/iXDZAPPo7h5A4xCwwlCbPAFcs8Wv0M0udqi7R1UVVt9HIFmkehMyTzvDjpSOHcpW4MoJ1/z/GboTdBd551MRdkALT7atcKK+q8z6gEK4zZXLx+UPAucjT4TRHhh+/rwvK+HQU7KURpn9Xvh6kC5CasTso0YnsDYWvFiLzmZOrMtnzygqJ8iAUglKMbi40Rz1fKiOiu84Tt0VU7J0uUg09ArowHWSPlZFSNHcninUy2E9icpm8wU4A/WJZdBQ6ZyEYfXSXmOOx8BNNpj4ugFd+EmlMvfYIRZmOQifhjzg6HHvoIaZX8QDSwexR6l5VXc7iyZ6wrCkmcmlEe1XrMHcLHPDYAylR5bzVlZ9ACZ+oz0YTdNKAdTLzk2K9JVUdptdV1SEXRdn6y/bPAEoGbIF1fnXYykuAeCKW33XESElXR8aT+NWYftcymH76t5afYUx/8MrzHlw1HHlAPxF2khlt3VR1FHxKUB8Yr/xqq0VVn3oc/0gSVT1MQUL1ppwWaY6gNY899SAyx+OlXBnKlP8xOl7qbkT2V0aa7K5JAeu27WqrXpjhtc31nztiCC8Pzku2jqW5yj4uKGMc7KWC6dCcX2OmH3y/RAIwTdZUcqdiw3FFubEbtZoMgNJkD5PLC3JZJMlPyGVSiKP5MlXPF24EhVGQxcvFzy0iD8nYijLuaD4+knGSx3byDthpiphcKOTzc7z/YhSC0aJ0ZW6akbCflxnZqNhuGuyFAgPTY961UyiNp8MUO/oSvYs9dDP6mD2A7Ewfpe5gOi8ePkNKcNYUxM3RCli3xz5ngZnkfK7FsF49XqpMD6q64J5fjekFVV1GSuuo6nyyh9Ppudx4oKjqii0yOGzlJUa5ieWkRdoRc0r6bWJMF3s6ee5cCtPFmI4mfq8y/aErz3vk6guQh0XOJw/pvsvO+faKM8kJ00VV9/NLKdwpvxpgXVT1KAgMuNSFkIaIqn5uUNVbormu8Y+QecJp/cL8Uq4MBVIshWc3IhjWZ+ewbg2nBNuwbblQmaruXFd5s/JOtfXtRp90INkSmiNVQM/RHCnQ3MSYLpNIQ7CXUqDnmc6GxO26X+YZHXD3FjYQ6mwjV3stO7DbcLxS9OucrMgE7bgoX7KN5U4oRGhu1nPUczOgTxO3RXgaq+cmoomPE03cyUT5JI99FfV8qqjnqPm7zpWYupRMTWSSkcZJt/8fCcqD8BNaPE2mXdSHFwPnMqCTAuzaL1KaMN2p6nQq9vDsSx9zD6D0LutX9jTpA1UoJPraGSLN1tRRTo1WmqXkp14q8t4rxTqA4LHndooqN9EZ1gXrYbw0UhIBLhmE6eVOjXlV3eYfVarqQygKvsN68nBI0BQo37BFBmqYSExzE8umXdAzPSjpynRR0hcL1s2Y/m1l+n2Xnw3Tv3vNhd+/bsT3rhvBr8CdPfdffq4Y1tUNxlwbKYcyg6oulAyqehotQJaiNlXdTBwJx01imgch88TT+9t4Kdq0DDnEM2+dYV1frt5CRdvtmhjH+QzCV6utU9X9/aVMrnwIw9semnugO5qbDNZAuzKJNAR7qWa6w7ox/WFbBEOsENANCLLTgB5QbuCGy/y0+yUb775MVOxUllbLEhFQi1aOUIjQfL7SHPV8RjYiyk8kGfzUMU8Rb1oRlCOTnJBtx0kyIgrQKUE09NlqdVmk/ovRJCPzhU9QHkRPWJli2LVfKND1574bVN0ObDAlx/YWkQtk1ygw3W4qaEAvBs1QA80aoPMTKEFDdOOlas8NSiLAJYMpgIgwva2q+lzF+sIxzgcm0hTqWWBimiOWx0DmgO6Z7pR0jetiY56ipxvTV55132UwfThMZz/pe9eOEKZfdf4Dq4Z/57Kz0eXNB8YcYCiQwjmFKr/Sai4IjaWZvLpgZVDVwTGKMKq6OQ42QvMg5DfDOiUEwzqXLtwIebnGhvVqrLN9w1xR1bm5dpu4L2Zho1jzaxxzspyxo2g+/Kv7UJoFZbTAAA0ynWTrYCjT1aR+1xb73iqGCH5yA5iqlZudxLjMT7stFnSWyMKNgHVOFniZLxBHKzehkF1m+eFQnVUktdE5/UBcJFjPxzugC8EnSWaEnLIB0KfIoKhjulldlubCdbmh0QLKTfScWaKS1Mf+KFgKpOsQoUBlulPVeejsLDyAdDD+hmrvcp3Knil9rNJC4q+dIVarkBKiVYnLXau9U3vn3dq7f6399S+1v7D9du3tP6/35z/V/vS72u9erL34TO2Zx2uPu6yaknJ6mrhaxol7Y8J2UVXnLgILwGGDafwkWI8WuuPGh7AB/Ep+0KawUKzHTo0lqnq2rF3Rqh5bYOAO5Riz6lhgSpleoaQ7oCN3LhWsG9O/o0x/cNVw9qCn/+D6UXzC94evOp+d911+zrcvFY91Z36JRko5l1GSJnNNaCnVNlWdpjlV/cLBM84bODWvqteh+RgvltkZ1s0CI0MOmYOQYd3ugl6fHNY5nBoG4avUVm8uDyoHyv1FVfd+jRM08kwpzVOgt0Rz5FxjugZlNKb7SaT1mG5YlxWO1PVFTOr3irO2qOoa55Zf91iptpRLBOiiZS8SOrM/oFlkboXMEciiO4vMEgHikFfkYpnhKcYWHQ5lmyT4DgLHPcrJIDRXlJPfMoNyETR0gD49GF424mXD68cp6eq/aP48Vcmw7gJ4qVHIktleYsx1lFCsYF37M32JPswePnl+3bBNL3RqtGwQ/OO/+fjjf/r4460+/nhbkY+2++iDz3zw/mfff/ef3/3Lhn95+2/f/uPf/PH36/3+5drLz9We+2Xtlz+q/ciOJSVldqW4GrSUrr/+ZyZydRKs2wa3DSjIk59aYDQCiTesByUxxjobiDE9HiltQFWXaaWKdW+BGT/MjAzSq/xYTZWqbhKYbgizzpco6Qp0YboY05eeSuZ7LjlNmX4m26SHrxKTOkr69yKmi/llpfg1xuYXHSk9kfPataLVtJfGUmevqsvragH/P/zidujCxs0E4kEczU/OhMzOsO4sMCEebzbCkXNtjLBuHLerEbbt5tptorZUldcP7x7eGVPOHkAdyNZ+mptQlAvK+GQcGECBXs30gPVYVT/Aq+p7XilYF6AvdSOZomvPVRXb0FxHLlaZIZo4zIW8EBwEO5kiaIbXfMqGmsUdwb3EHEcM4mR2JSjKheZo6JxIDS9VSjpJwkwmEqnqtJd3AC2ldTtdlE0ijTHXUUKxwnQ/CZGOIfXrtUHV7dfV/2H16v+xevWWq1f/v9Wrd1+9ut/q1Yeo9Bf55JBPPjrkow92/uC9T7/313/461v/5a03/vMbv/tb0dmfqj3149qPH6w9aOWQkvI7SlzpdVNAdouSYzrCwf7TWWC4i/Fjz0+gBFSlhvUY68lIaXBqVFe/TFWH6UVVXS0w87wFBoWUX8ksvcqP1Zgqyq+B44nYT9rtXM+DvE5J16FRU9LvVC9GcXpZJliH6Xzed9lZ919+9gNXnGsjpWBdmH71BQ9eed79V5yr5hcZKb1dvV/M/EL59gzY+4wm01haSjOLqrpGCxhgU5BijpsUaa5yIEL+iaf3K/FYj6YO6F1wFqr6WGen3VwqzA2iBO4Fb1ZeqNTQ/HMao3ke6ErzGOgZ023CEUz/ccT0aqA7ppuX+sMFVf1asaeTgQQu4R3chJ47z1C2JpguFUCsRBY0mx3cc9ySs6sEmgeV3DjuUW6lkV9QbjTXt4V7cwB0lPR5YvwJlvR9wiSjBOVBYqbHwV40MAA7Y8B1rFA4ih2dhB7C48ajxx5VqjKNITxcjuldjnVOYd3YUoJIE/tp9d+uXvM/16z57Jo1X1izdsDatSesXXv+2jXD16w5e83qM1avPm31Jyd/svqk1WuGrvnkS5989NmPPvgfH/zl//vLm//45m//9rcv1F54uvb0T2s/fbj2sJVGSs7SoLiD66YEzW0WKSvGun51G3ZfRf10E8rFRyKzwMQTkTKsl6jqzvwSVPUoVICNlKKqL/OqOhAPFhgUUkqDXJyL/BxOaRRrqjpI4ldqWBTZ71QJ3+0E6LGS7qwuKOkAXZzTLzmNo2yY1CwwAeuI6OlXnsce8X659Cwzv4Q5pZQvr0Cv+bqR0oKqTqNo0awKVb2M5oJyZLQX8kuEr3MPnX1BZFhX10a5EXYX9M0aYz1cEy5IELlEiapu8RrHHDFnxOCp3q+xnTQ3oZyM6T9vBdNtmNRU9X4PSfB0p6rr0nF7XqVBzNWGTgKgonGrAUSt2+Ui7C7gOyQ4HsT2xFiXErx67miuHCebKeZOAHpgugc6UBYl3Vanu3Vziz6WojxIxPR9bt4M1R4dn5cWdeg8Jd2Ewq0/00noHuhS7CHx5PJH0J4+FAV+lYfLKUzdwHSzEodUZOgn632y+u9Wr/nva9Zstmbtv61d++W1Hx3w0Xv933t74Nt/Hvjntw57661D3nrz4DffPODNtw5+6y8D/vLu3u+irX/8Lx9/vOHHf/kff3n9719/8W9efLb27BO1Jx6rPfZI7ZF7aveUngux/S2mBL6dJAJ0TsZnFda5f/bkwwvACkHYD0oE68GwLljPxkvJEFT1dKS0nqqeDpYGCwxMdBYYU9VVWUD41YAVi+20PkcrHNAjq4tT0hXoqqQ7oJO+5b1fYqyjpD8ktheYPlymlWbml5Nvi8wvcq383xr5a1JU1fn/kanqEi1gvIZ2aYTmIuplyCG8D8S1cUTBtdFj3e6Cf/M5rFM9DufThG12BlVd3tl+1IRi+StA9UaddADZKoAe0dwDPUG5ly9TiGP6E1v7wAAtGNMTpouq/pCsXXfQdz6Nqr7/HRrKPL96HDlblWJ81xFyZliXt0KO6VZUDugx02eKGZ3qidVlhXjNU+cwyUgCwdeRwPSbfGCAWTKJlD0x3TpcpHxhulPV6RjsoYNlT1+PD6rO14//48ef/MMnq//n6jUbr/l404/f2+y9t7d6+0+f+dNr//raK//2ym/+/Tcv/7+XX/6/L7/0v1966Z9fevn/vPzqDq++tvNrb/zLG29u8ebb//T2u596963/761X/+7V59d7/qnaU4/XHjdt/Y7aHXa6qpTgtYvFVSJiejnWb5gTUJULsO4sMGbPVZrof/8M63w6rOdVdd78wvTEql5igRkqFhhV1dnDr5yal4cyK+ihJaq67FFs0SJe5s6SjpIeW12WZlYXAzqfbmP5ad9acfq3Lz3j3pVnfueys+6/4pwHVw2H7A+sGu7nlHrzSzCpV4+U0lLaSOtyqrqLwTtgoqrqjdA8CPlR8KecrRaYvGuj3IjYsK4e/XaV6lhgyGC3iQMpgf9MqOpzXbxGVdXbQfNzviIigQGU6YOywAAtG9ON6YmqfvADOv/Iq+p7hVWedb0hclpKuNxOsTI90535xXYG03mguTO8IADd+7rsviIL7RImGTXI9CwwgA7eBqh1nnAW+jOPD52EB40+zB76Bg8vHZveQp+x7mSPmDK9G1R1AxQpdmpk46O/+ejjv/v44//68Sf/85N3/+e7b/7Tm6/999d++19/++Lfv/jc3z331D8+pQfl0tPrP/385s//eotfv/xPL7/6j6/+8b//8Y3/9sZr//DaS3/70jPrPfPL9X75s9rPHq09el/tvptrN9shCU+7S6wylq644nuXX/6IoznfbaPIdO6cPfmxBQZC8VPesJ4bL+XX1AGmSlXP+apnFpigqhvW2W/aqDLLdSxTQvmVGprYtvU26i+9LR0aNTN6ZnXhEAN6DPdYYZeZpauGo7Pff/m53xE9XZgu5pelpwaPRnsGODVVouE0mfbSUmsmDaR1XlUfEqnqhzhVvZTmEcpNRqmQX1wbbU3qaOkMM4XJCIfeBS6RvPk81uX6zJXrw8UJwld7YZM53NwlElpd/Bonn+WmILWB5ucqzYtM94EBypR0pIzp/Q3rmaqu84+8VR0ddvflOn3fR9ciMynhcvuFMk1NtmR6ujOgR0B3JpfgvLhE5jEBZQH6TZvxKrKhUYDeItPJRuYQGICvgWidKpxI+7NTU+jJ7CHRPYJGZT2KDPaUKdbTQuKvnSFWK1JgOp8f1D744D988OF//vD9v3//z3//59f+/rWX/8vLz//d80/9bYZyAJ2I+0HTc//puZf//uVX/+HV3/zdb178Ty8+/zfPP7nekz+v/fzHtR+bBea62nWWM8FrF4vVYeXKh5Ytu5eNRYvuWrDgjvnzvxlQ3gLWxQJj42nREnegBFSB2owmkUmXDHwixvRqB5gSC4xX1RMLjIwH+o6lg6WlTFda0RDtZydmQ6NlVhfyB6BrzHTZY+b1e5bLzNJve6ybkv6dlWffe+lZMN2ieqn55aRbF5x0c7xWRk5VV/OLquqwkndVpqprDF6vqkcoL9DcUO5F7CHm2jhDg/Ha0hm8ZTlFLnhDZFiXC6XXhxpyOJ8mbLOTX+02UWFqSzlcfy47fyYm6BSkNtPcRIK9PO0nkdZhegJ0JGa6qeow/T5nftn3FnGAcaq6rSQ3283gJ7+lhMutEldEPqGkC80V5Q7fsahfjXkufmGhTBk1oDuTSx7oLWDdmG6BAVbKaHBCtE4VTufUFA2qzr9q9tA36FpBo7LuZA+aPWtJCfHXzhBOwdn5tATT36u99956772/3vvv/Id3/rDeH15Z75UX1nvhydqTliHheJWQ88n/+OQL//mF5//T88/8zTNPr/c08ov1fvGT2k++X/v+/bX7b6/dvqq2yspMONtlwqmXL79/8eK75869bebMG/g6ZcqVF120avLky0uZjqRY5/4FhY77auNp7IdTyyYcJYZ1TxO4EBvWFRZeVS/1VY8tMBPKLDB+sJQ9oo3mB0upVYx1NqyfUW3pZ9nQaInVhcwxzUWWIbLfvvKTU9hXngXQ77vsbDagfGA6BQbzC2fk1DEiaSxVpZm8t5yqrquVxqo6aLapm43QXOQbIuQ3CwyF5AzrkSnM3nx2lYTp3gJjlygIX8Od5aryuuUNxC2gnrMvGMxbh/8Q5IlpXgn0As1NJDAATLdJpFFggBaYrkA3pudU9ft1/tGdEu78yzduhv4rVnVT1eeJBQbgyljoRDGCc5SlhNdFcfmi5PAdlPHISi4u7ebhXhCh+QKN0qWDontYoK6bxdFl/7tcTK7Gmc7fEQsMwHZgWRcIp1Omuy7NM8seEo8t/Yqu4lT1Lg+qbtWoSn9d76/vrvfu2+u9/dp6r7203kvP1p61/Qm1WxQ76om/eeIXtV88sd4T6OnB/PJQ7aFv1b51U+2mS2uXkidBbdcI5wXo8+bdNm3a1ZMmXTZu3CXsGTly4YgRCy68cH7M8RTr+jVT1Y1WeQtMwbBetMCUDZaSB8mp6o1bYCZFwzUzZbjGaMWvpLiT0QPyVpeTndVFgQ6yye9Q7mluIvtlw/1kCjs0j5X0uy85XZi+9NScR6Mzv9jwQzpSKqo67ypV1ed4VR0uTzyj/1h1MmmE5shIZfqYUw7iQIva6AzrUTBeTqpGKvtDk2Gd6vE/hsO5SiZs250N7yEuL1Xl+nPZ+SvAP4kRJ+5PtjbQHDn7K26MtA1MJ2ecHNPVpH7AXVtASTO/wM3AdPFoVAsM2roYvgtwr0rxsKczoQDu2Q7TIjqJ6Qvzo9mnQfzEVPFvWSJzoITml+t6F3WB3jLTv7k5JbARoNZlwkljp0Y6FXvk0ev8oOoc2GIqYu6d2jt/We8v76z3zuvrvf7iei8+XXuanTGpWysc/ljtMcM6enowv3yn9p07anfUV9Wvu66zhDNeeumD8+ffDtDHjFkKxM87b/Y551zM/jPOmCIViiAukt+TYj2xwKBZs99QYhaYQBPDOjnJwKfDel5VFwtMfgkkUdUrLDDmrs42P0UWGKcvBKa7HpYNjeYd0vNWlyLN+cmEXy1bhvXlZwB0VdLP4CtAR9+nTG9+gek6+Ui9X/LmFzdSytuIyiequsXgdap6Kc09yo3mQcgfTy6lQGdY966N5Yb1CguMvYesztwaaktVqeecaApSynGTAsRjOfs4kUG/EHuLpRAYwDhuO6tSrKebqi7zjx7UkF4w/bbN97lRvF/EpL5CZh7tOt8xHbVaHA1hdPBAD+7kQVQBp8xM9ZaQLOJ6yE5IDaApUxi91AWN2f2STGyPiAWNsV9XSFR0R/NrLDa6eLlUAR1JUR4J+S1sWcy7LhPOC6Z5mughaE70CvaQxE+hIqh640y3ouqnhJL15c+1P79dexug/6H2h5dqL7Uf6CYUYlh/vPY4X4P55a7aXdfVrltcW6w1rSXY7VThdEuWfGvmzBvGj1+BYg7NTzttslWDdMYZF6VMR/gh+prDOjgIDz9chsXwl/2gRLCuMdahCXe9zALjpyCpqm5Yjy0wpqoHC8ySKGDAgshdHT0XbHEIhxuwTAPlJ1LWvYpDo3mrSxXNRcimk0vtqye7BuONlHRxZzQv9bxHo6m9KDK0l8ZST2ujqOoTUlXdAnuhcZs/eIbyapqbSGs1GvtFZ6kFJosZoO/XCsO6vf+oIcdSVRO2rc52mziEYylEVXWZgjTpjP52xjzQU4LHYjQ34UCUdGTg4xncLWVKepmeXsV0eLf/nTqh9AZZKdTZXhZvbFNJBesae0sMJjr5KDOezFTtO1LAKdMUbSG4xzc7KRBdWwBtIXmvkEiKvDwQtmWPSRy5l1+vlKi/RnMZEb1VVjo1LxfSQd9JgW4SczwWOypGYRcLZw9dmmeNNz176BvuX3LdoOpa9xZSwuU2C0W9VXsLrL9Re+Pl2stmconR3B6hKLCO/LT2U/T0H9R+8GDtwXtq95j5ZVZtFhkS7HaecK7LLnt44cI7Zsy4dvz45Wjoppvzee65M9lAc2+Z6UZz+7S7K8BS1w6IrLZXZ1gHWPbH32hiSiLZ+BVYGC+E6a0ZLK22wGTu6uwhWd9iwzpWAHpuaDQAvS7NEXhNNtl2P+kLQBV2hG2npCvTix6NsdrL28uZX3hpaVSvUlV9wmn9zHLdIs1FThQhM4fwPpiq4b1klTsNksPVi28EV9uewNgCY9eKTxO2YX1eVT+GqqL7x1OQAs3rG1sioO+NDHoiRbno6a0ZIw1M7/9IYLosZeeYrmvLmZ5udhIxbc9S+4np4J7gznICwRc7IwllJvgWcGvgAehM4XvrWkgwGtnbrZ2kiyJZDHcL4062azSbrtchDouo57G95TviWa+SAh2JOR4LB5IMkd0inJ0uDQfoIXQeujF76Bh0DzqJ1q6FlMC3kwSUv1l784+1P75Se+X52vO/rP2SUydobo9YaSjpSDCp31K7ZVVt1fzafG1oF2GdE1166YMLFgjTx40TprPnzDOnXnjhfBkdrdUWLLi9hOkIv0Vfc6o6d5eH32wL0BlqwCn2gxIQAI4hFzTh9htNFOslg6Wpqt56CwyZrZNRMqjKMb1saNQATYZA8zpAV6VeYnuJau/Ifpone2R48Uz3JvWC+aVspJRG0SJV1QeXqOp1UI4ozW09aDNzewuMuDZyfbg4ag3LbgTXmWtOZbyq7iwwHGtAN+GrvK0TVd1NQRokU5BMVS9APEiR5iaDnxSnl5JgL21j+gOe6d7vBRAL05eIni749gG51JaiRvBYE1+mFpJLN9lDjSSUuecqXeHoagnLrgQXLrMfQKNr72MLUusK1E7CmtS6PioZRCW3PPrV/FsO8PG5IqC3mukBr90iVv8WU0LYrpfXa68D9N/Vfver2q/MyyUmcocIZaKnw/Qf1n74SO2Re2v33la77era1UtqS2bUZvBrAt9OEk60atX31fZyIxAfNWoRe8aOXTZ9+rULF97Jtqbv1W7Sv06J8Ev0NYf1WA81CwwaOvtjwzpEEHsuWNc1qclJBj6N6Tm/xorB0swCM1aMFUnAAPbwSZJ/A6KEngCVqCpAZ2dqdRGmC5f5qUGaR0y37RzZPdPF9sIpjOmcNJtQGptfCiOlvJB4UQFfEJxT1U/vN0Yt1ynHEYfyjOZByK8WGO/aWIwZoL4KiQWGm1g+WBr9vbhUbWuqqmerICUcN8nTPAd0DjHDS6sDAyCJ+cWWPbJpR3fqVNJrBegAGlJnY6SB5mjlhvLFinLVx0UTXyVrDJkOToGig4PvGz2+bxFYsx80iyn8DpW7xCkeTGfC17ukGiEDnxBfjC0aEp2Up7lJCnQkQXkQSkgg2xliVa2fEob2KKF6v6/9HlX9N7XfPFN7hq8JjjtKKBmsw/Tv1r57X+2+22u3X1u7dkVtxZzaHLlGXYJ1zgLTV6x4YP78b8JxO28h/ViZHqSc6YjDOp88//Lwe2aBjMwC4wzr3rXRDdM5C4ky3WHdWWCU6Y1YYJKQjXYuzsubg6KoCVWielD11oWyKF06NBoBPUM5UkFzeQ1oTBiOshI0Q0b2Eqabqu7tj9fF5pf8SKm8q2JV/Xynqk/yqnqDNDch/5iTD5TwXjq5NF4OKWeBiXxg6qjq+rZ2ryJuCrX1qnpmVW+Q5mepkF/09EaYjtRnuqrqwvRvidOLODJayJelboU5p6HbaKeq59B890sU5ZeJUYX8ZuzmWNPBKVBA/E2PbxiNiq0E5ydOJPJthe994kbJ2Z3cL57yQmT9FcrLsSXGlkQylAdJUG5CIaQYvm0WK6p+ihFpKezp4fJK7RU0dFPSn6g9Qc0TFneUUHJg+gO1B+6s3Xl97fqVtZVdzPQ4zZ17K5/z5t0G6G+99cmnnnpddz9eqz0qD3aO7Cr8GGNdv7ZggVGUiIZoNAmO0nAtwnppEJhssLRggcmFbKQQs8DwFV2eoyiEYoERSrpo6LrQaDw0CojZ01qaB+FY29AMll+knOlqfzTzizFd+BjML5mqLi1yqvoFqqrrchmo6uZk0gjNwxr/5OcoC+8lFhjv2igjHCF8pt4F6pNT1UsHS6NXUaSqi1XdlkhtkOYixwrTBz2xtUw4ygcGaA/TASiqNGhG40b7FqAHD/HZTlDSZcqPTsqXoUuzd5syfquHuM4AMgXc2A1MhbPA975P27mQfg9+ut9Dn+73sPxRcCKhIl24ApsGxbEUwiGkPMQTydHcJEZ5ECsqRnN9sfx1UoLCFsUdpin5qUfJy7WXAbop6bacRcLiDhQK/1HtR8b0u2p33VC7wZg+oTaBnxL+doZwlmuv/cmVVz562WUPo62bsPPGGx9/9NHfvv76e2zLq6f2mFhgwoONtIR19/AHbIX/6ew3wzpEDvbcgHVyksEwJ0yvM1jqLTCxqs6xJIsDY9q6qOqTjuZwXhKQiIoBVlXPFcSO6Tra2QjNkTzNVWRxu2SnZ7rY08uYnppf+KeSmV90pJR2wVxYOW/kUDTrmXlVfbTOyG+E5oHpo75xQAjvFSwwvDnUFJYbLE2wTlU5PNx6tu222qtIAnuJA8wwrnnsANMIzU3IHFI8ibRdTL97i31vcYaXLy4TM7o4tITA6DM1FKKuzQ/QobmYVjzKRQ0H4p7gFOgUcNXBM3w/ouZ78E0FqEmhhlKfEFxMwru7okRSjseSAt0kprkJpcXIRtjTYkp411HiSq8u3/3sU/Jr5wnnMqajpD9Vk9n/CYU7Vigfpn+v9r0Haw/eXbvbmD63NteYTkoQ3BnCWa6++kdXXvkDk6uuevSGG/LXXx5jmP7jHNODkCEA3STsYUN0OsUWSAVY4BWIsN8Z1r1rYzCsgwl+NaYr6VJVPXVX9xYYjpJio0i8CHvY5lfyUw7Foh3fugD1/JQ7FLhkANNAnI220Zy3AshGKME2kjxlTM97NEY6L+8tUdX9SKmp6jQEtXr2BYOKqnrCcZOE5l72I79aYMwHxk0u5YpxIq6kvVz9XYDplRYYtq3mrtrBAUZ91aee43zVG6F5YDoaugR78V7qrWA6UmT6/cJ0GC0eLxbAa95GoNy8zneeIZb03RbpikI2Kd+m/CjKUcaFoUAcBVzxTYFGcIdvT3CqJ1X94VaH/mirASY/jOTRray2gelkdkBvgelIjuYmMcrrp+uvfywvKeY6SdzpK5KLHiWedo9cccV3bScpKaQDJQDO0vO15zvV8BKEU5g7I0y/sXajMX1ibaLWoutU9euu+yl3/6abfnH77c9861svPvzw64899iY/PfPMx8r0H2cWmKKQLwDdUB42+DWzwEz/ykofBwbyokEHmoiS6P/7x1jnaxgs9Vj3TFd9VrCuBSoBc4Z1tHXDOu8PEMnhFIiCecv8b8D0O5ee5lAelPQczfNALxhbVBzNTSgk/sopoDnZZKOa6eF/DHWjmdJAbR3tUvPLkei/sDJW1WVlO43BO1qjpWc0TyEeZD/kAmU6yfvAHGY+MBTOReNcLVhg9C7HdzxW1bkjqqo7X/WJZ/TnDwR5WqQ5cmZse/mFm0RKckwvYj2muUmB6UBz/7u22OcmiSou7i4aaHdnXdd/p6kbOCV9iaw+gSKPOm82bmDKyyDo4BDc8O0rI6TWqtVLh/5kq0N/7IT8HE45FMhPGdBbYroVVT/lqV1fUti1R9zpy9KqVd+//PLv8pd/5cqH+Lp8+X3Llt27dOm3Fy++Z9GiuxYuvGP+/NvZP2/ebWywk2yokHpoB5M9ARwa+ku1l+xEpATBHS6c4tHao8b0m2o3GdMn1SbZ2eO6dZ5wIr0Uj9155/MPPfTao4++9dRT7/z2t++y//XXV7snudQCE4SsgelG87ARyMXzD7PQ6eAv+zPDeoVrYyODpWQjUYj5wFAghKJk09YD1vmJQyiKasBTCHuXehza4e2keRCKomSRbKcwPfgyBqb7YdLMo9FaCk+hqjbNmV+sOUVVfWKkqhcgHsTRPCzwT/7RJx044TQXB2Z2PAspTAcrWmAaVtV5lVImbx2vqrdAc5W9Bj6+9WCYbqtL55kuWG+M6QHrHItWu/8dGq1QI9B+fk42axSsi54+Z0NYL3EQb5b14cAoKA8Ql/NW4FuQXVfiPML0HyjTVdlPmK7l1Ut5LrdHcrxrUdzpK5Kp2+D40ksfXL78/ksu+c6yZd9esuRbixffvXDhnQsW3D5v3jdtXG7WrBtnzrxhxozrpk+/ZurUq6ZMuXLy5CsmTbqMn/jKT4CeQiiQPUkd2iYJ10wo/Lnac2D96drTP6/9nK8JgjtcOMUPaz9MmD65NrnLTOqIXdJbbnni3ntfBuiPP/7+669/8uGHq9n/8cdroye5fRYYe/4hMlozqGI/mp3QJHNtdDEDAAq/OtKVWWDITAYSKFELTObaCNZRzIMRxoZM+Uo2SqBMagtbYTf71ZFcNhqneTC2xGLURihKJjGpR02AeynTuTIyTKp/YtSkLheHZtJAWheNlJar6ujaQVWvRHlE8yDkl8FSjQPjZiGVB1hXptv0bsN6Pgwv24mqTm1VVR/iVXUx4pcCPdBc5Bhluvq9DITpGhiAVMl0pCWmH/htiQqwt0a2QknfxSIB2Ep1UyRWIko6Kvw+N24G+gXoD5dAPKC5tRKOtXLqpwJ/O0NS9iHu9GUpqNsAd8WKBxJ1W4O1Au7b5sy5Zfbsm2bOvPHii6+fPv3aadOuDmH/Jk5cSTnjxi0fO3bZmDFLR49eMmrUIgsgdcEF8/hp5MhF48ZdAu55E6xYcf/VV/+QnUkNWyUJ0WKhZGhuhpfHBGFdyvSbazdfVrvMmD6+Np6fkup1nnCuW2994q67Xrjvvle++90//PrXf37jjb+y8403/hI9xj+uyXvu0YawHr6ywa/2/IMJwAo4eP7Zv1C9pKEJUDYlUQ3rLmYAGa5JVHU/WMpPZKYcU2lzWB/vtHWHde8Jw1mgFaWBJ76SUNXvuUQmfLLdAM2RHMdNAs0N5RTF521eMrgnTFfXF7ks+ra7VuPIu1dXYaRUVHUfgDdW1bURLjVCcxMyj/zGAeNPdYOls+IA6/afSe1g1MS7q7vICvVVde4LNyKo6vwPMD/6ejRXoOeY/ngHMf1b4vSy9zXixfgFZbqtRbfD+PV3vGgD1HaU9L2vcxq6DXWSApRbJXZsnVQgbBeJO31FitRtqC3qNtQuqtuzZ99cpW5PmHDp+PErQDPgVmovDmH/Lrhg7vnni/feuefOPOeci88+e8ZZZ00788ypLoCUT+TnfcCpeYtcfbUswJ+QukVJKFYqFPtk7clna8/+ovaLrmE6wlmCPf3S2qWza7Mn1SaNq41jf1K9ThVOR7rttqfuuedXP/vZKz//+W/5Kp/hMZYnuR0WGIMXVAUZsIPnn/3QSrFeGjPALDC5wVL2kGILTIR1GS+NjTAB6xzCth1LokoQ9o4lp6Kn333JaXepzm40L3DcJEW5SUxzE/OSpPBMHN+Leno6TEozeXXJeysaKaU5qqrLf45YVecstlyGV9VTM0si50dCfo4yd3XeEJQpFhj7zxRbYPTNqlgXCwxHVSWyUW2O4vpTzlxT1U/vx2uGX+vQ3DH9F53A9Ft0Kf3l4vGy8wxZ0W37MZ8C62jr7Nnj8k2A/sH3i72F/AmmE9HqtJBuuOGxRBLCdpK405elyLodq9tQO6jbULtU3b4qqNuAu6huK7XnnX/+3PPOmz18+CwF94yzz55+5pnToPbpp1/kalCWyGYBAu2TN8SiRXfzdrnqqkevuw64NIr1BF51hDJ/Wfslqnq3MP362vXLa8tn1mZOrE0cWxvL/qR6nSM/jYWTlqQcuLksP6lm+tyM6UbzsGF2BhgBLHj+ZVRNLTBGE6ck5g3r/Gqws20S7AgWmID1S+tjXUZNvao+5VjUT7RONGVwfOdSCaiLws6vBY4j5ZYWJFHPjeYiynFKc0BXjmfb6nDGqc32whWD6eEfjDWThmvrKlV1uQq1mreq9x97ykHmO5hAPEhG8xMQWeOfzCNO3J8DbbCUl0TOXT2zwLhbYOl3td+9WnsVeaX2ym9qv3m59vILtRfcb1FyqvoFg0RV1+g0dWh+hsogY3oUGIDUCqYjnukc2O8hcU7f52a3lP6uczbcaeoGnxu3/ufGypJyu8zY8ItLN9772k3JYxp6g+BOkN2iJPBts7jTV6Qy6/a97Va3F8Xq9vDhs+ur28UE4jkE4lMC5fAaGD16MW8FzjJhwgqzzJhJnQ2qeuWVP9DjspQQPEgBXg3J47XHUdW7nul31u68tnbt0trSi2sXT6hN6DSm5wheX7QCSvkcuNtqgQmzbFDA4TLggFbsRwOFvKIkekdpBYrTE8lgCrvwLvWBiV0bK7HOsSTOwicZOByAAlPwevviUwC6zfnk1/bT3ISiQPmtCyWkjBeBe2A6SjrXhMtlTE9M6mp+SVR1eTlJM2q1Equ6+qonKEeKNA9C/lEnHTheB0spCgSbBYYTcfW4knoqSX+u/fnD2ocf/ZePPvj7D97/x/ff/a/v/vW//fWd//7O23/39p/W+xOgf7H2YpjKERIvCYqd4FX1KppnTLdJpKVML2I9AToSMf3gB3NM//zsDXe8aAOUdCu2fkq43E5J6Fwl7twVKXYmia3bS5ZkziSl1m2gWV/dNut2lbrtTl+RyHbuuRdzFNC/8MJ5FEWZY8Ys4RS8ITjjpEmXc3bqwCuEKvFG4b3C3wJqy8uG/woUQosuu0y8G0l6uQSFxm7bSbKvSAFkrZCf1H4C0y0WLmXG8O0k4SwP1B74Zu2bId7L+Nr4jmN6SurWilvELwdus8B8tyFtXb4GrHsLLLAGWxB2ibqrQxO1wIhhHUCDsyucU50ztpDfqbEFrJPZYT3T1kW9NaxzrCi5XlXnzUFOyuHVQpXg7B1LnLsLv7aW5qVAN5pTGgQvSgnTS80vcfRdHXsgLfSq+qyCA0ysqmcoL6O5rfFPZmhrIRt1sNRZYHhz2EV7u/b2R7WPPv7Hjz/Z+JNPPvvJJ//vk092+OSTXT75aNePPvzCh+/v9v57//u9d//p3bf/y9t//E9//P3f/B7N/fna8z+v/fx7te9x+Nqm9CopJlTyMnV7yZgxy3g98JKYOPEyNH30fd4fqP8o3bxU+E/AP4MFC+5YtOhu/i7w+uHfA/8heCeZf0sjKXAccbvah0L6JEo6nfOnQq5OZzqn+GHth/fV7ru1duuVtSsX1RZNr00fVxvXVqanRG6/ZItt58Bd1wJjG4Zyo3nYyCwwkbME+8Eu8A3//QXrGmLf/v4b75wPTDxeWo11jiIBcYoVC4w3rHNGXhiUFltgEIDOrwnHTVpFcxGd0RdzPJaE6aqqy3oUro1584upzHCWlx+XaIFa1WeLqj5wuvdVD9NK8ygvp3kQ8vMmEHf1sw6hKAsYwE7S6v+0evVGq1d/ZvWaz61Zs8eaNf3XrBm8Zs2wNWuOXbPm+DVrvrFm9UmrPx7w8Uc7ffTBZh+8+z/e/fN/+/Mb//DGK//xlRdqL/Dw/KD2gwQZTenhgrYOtUeMWDhqlBhJxo69pErd5g8BfwsWLEDdvgt1m38Ml1xyH38gULr5P8G/CutCpenhh3/1/e+/9OMf/+axx2Sw7jvf+e2DD0r4kXvvfeWuu351++3P3XyzhMANQI/RJsf7FO9vRO6v3f+j2o+g7Y/FyNAVTK+TkrqVSYrgDpcKprdkgbGNItPN2uAGSyN3dbHnesN6+O8vFhjv2ni194Ex6gnWlemlWCe/WC3UGB2wbkxnm5NyOAylMkD29sXO5MKv7ad5EEqLUe7EOb14psfml1nHX5M3v1ACyVR1WrFYQgWUqOoWrHGkTvNpEeXnHe/EChd3db9sqe1Z/ber1/zjmjVbrFnzb2vW7rV27aC1Hw/7+MMjP/zwmA8/OO6DD47/4P2vvf/BSR98/LWP1x6xFuJ/8plPPtzkw79s8JfX/0HWA3uu9twTtScSZDSlh0te3b4ZdXv+/G8uXHjH4sV3L12Kuv0dr24/0qK6/b3vvfjDH77805++8vjjv3vqqdeee+4Pv/71n37zm7d+//u333jjr2+99d5f/vLhBx98TM5XX/34xz9+nw3IDtbvvFOGZwLQE6bHIqfRlOyvI4/UHrEFK7pAVaf8h2sP31W76/ra9RaUcVJtkinppKRiCW27RhzTS7DekgWGz2CE4WuMdbPAwC+0UeALZ9kPcxePdeZvM6x7C0w6CymZXGparWHdH67aulpgPNMzCwygJydaPySlkhBZJgflsd4gzUuBHghOacZxL7LOSznTI/NLsDgFVZ1LlFfVJQBvoqqPMlW9AZqbDFes22ApJbD98Xoff/KfPwHoa/9p7dpt1378rx+//2/vv7PTO29+4c03vvjGG7u9wecfvvSHP+z1hzf2fePNAW++c8A7737x3Q+3/1CwvvmHb/3TW6/+3asvrPfC0+s9nSCjKT1cli3LqdvS+arTI4/8+gc/EHX75z9/9Yknfv/MM/9/e//1bceR73eCWa3b0+pR95J6ptfqeVDrYVa/zjzOfzAvM2seJN17a66V1Gq15paqStdU1a0qFln0oAEJgEWCJEgCJEEHGtDBEx7nAMd77/3B8d4bzOcXv8zIyMjc++xjAByWbuC7NvJkRkbmTvPJ7/5FZMRIR8d4b+/k4OD0yMjcxMTC7OzS4uLq6ur65ua9jY17q6uby8ubCwubc3Mb09MbExMbY2PrlFNRscxnScnszZvjV64Mnj3bzp+FMN1K9sYkb35al4PLAB23XhFUkN+j8N6K8jWY/kHwwevB68lguo/XByw5WCTL9AysFxKBSWJd5xurLpWloBls4UOhFYtI8Bd+aQTmPW1UZ9pKs0iRp1j3AuuKdfKEbj1HJ1/KdCYon3Up8NPDYQRGUc7SPaG5opzSZKSuCOWxIqYjYXoypM5a1qrr1ynIqv/o/62v+eSnOSg3MmP8//v/J/l1IIu1f7S2/t+ub/z3Gxv/bGPpf1ia/aezk//95Mj/MDL4Pw32/POern/R1fkvOjv/586Of97R8S86uv6Xrt7/W+/A/2Pg7v/97tj/dWzqf5pa/OeLc/+XudF/OtrzBz1tP2jzkPEP2ufy0o0bndjtsrLeqqqBujqx2+3tY93dE/392O1Z7Pb09OL8vNjt9fUNwL2+vrmysrm4uDk/vzEzszE1tTE+vj46uj48vD4wsNbXt9bdvdbZudrWthpuIEotLfJmY3Hx5OXLg2fOJJjuQTm/TGFh8hapzgZnbwe3Yfr9Dr9Q+J3gzqXgkrZMfyV45UBwAKA/MKbLIcidPvjgjsTH8jF9FxEYoZhBGDjGigIs5mNCgbttfQHR4Bp0g+AKu9DJelg3AWiWqlsXpht7m8eqM4dsFAJJMcsgOOK4+y7oTmmOIldOaQmaG1mfjpTpGlInM4kvaGtKxaofkEfUFlbddNb4m78SOmeiPKJ5iHIr3eJKsLLyByur/3h15Z+szP6T2bH/49jgfzvY+9/0dvzXHS3/SMYQyEzN/+fm9v+5vev/1DXwTwfG/sex8f9xfOSfjQz9k6GO/6rDQwaGRVf57LMaV96cdIZtKm5zYraWM3FZv/++15hEX7rRxiRntTGJbQV48OCn+VsBPvbYm3lbAb5gWgFu3XbbNCY5lCu6/cwzNrr9iYlufxFFt8+w2+y8qZO8cvw4dvtmfrvtnSDsdmvraGen2u0Z7PbkJHZ7We32vXsJuz07q3Z7Hbt99+760NBaf/9aT89aV9dqe/tqa6sPbjc1N6+2tIRwb29f7+vbZKKoaOLSpd6vvpLhhyzTt4t1K9mMSd58rDq0LQlKSgN5bdVj8V6Jkm8Ft84EZz4KPnozePOl4KVk4MVH8A6kReVKSm3TyJUrPGznyiXxzjtXuTa0tWuC6RlYLyACgxJYN/NtZSlgBcTAV5urSwQmbAPz56CZRaANwJGNpYbpBusaWDdYZz7JEDDRujGHVRcmkp8tamXpqUMyVgaYVnzDcZYWTnMf6E6MBVGUnRa9oibdZ7p8gSDQF0r5gvLV9CeIterP5Lbqf+db9UJo/vP/VUTmpWBp6QdLy/9oef6/np/4g4mhPxjq/oNuF+U1QU2mwsW4rf9DS/c/6R78Z4N9/11fzz/u6fxHnR4yvgy+PBFIq2SSS+H8f+aXKSxn4sp2225zQafabutLN1+BReD40kufHTwIteN33J9+WlsBQu23oeqWrQD/5m9e2GbbbWkCyGOAYnkqaGMSHhVRY5KPU9Htsxrd5ovwdU6c2Dq6beokY7vd3Bzbbe8EbeC2N++trSXs9uSk2O2REez2WmS3Vzs6Muy2l5Ta8B1vjkPv7RXoDw6Kbac0ngQTE2LPx8c3x8buNTTMMX3mTBufLtBVHpe3JdkVk/TP08Hpq8HVYn4VmKZZHov3SpTMw0O7BPhd8LsXghds4IXk0TlTmjNPiqhdxOWtvsRc4fo+sLiTY8cucZ3wjOeCUY8S9egQvmXmMx1RrvJIJV9kqwgMUqbb+VFzdQE0yAZbkPeoGXBOXy61bWDwqvAaxpGTpYZ6YQRGQR+6dUPAXFb9mDLdadeI55XK0mgIJIArWDdi6Y5pno60UJqDcqvwsLBpMmhIXWpK47G2Y6vON4qs+p9nWvUD1qqbQIqD8hTNDcqV5qSFYEH0g4XpH0yP/GBEmyTqIo/geaT52/6bto5/3NH6B62t/1Wrh4wLwYVTwSlsC9nSaM7/Z66kV7a23Y6u6UTPJMm229ZuQ22x26bt9nZfulG7DbgLsdvadvv+2m1SUVFXSUlPRUV/Tc1gY2Nst4eGZkZHY7u9trZh7fbS0qZ3grDbg4Nqt1fVbre0rIQbyErNzSv4cUttTDrEh/tDQ+LcR0fXeRjwSMDOY+rn5+U5gcdn0+vr93h4IAoZG1vq7JytqRm9eVM6TfRorrKA3o3MLkv6KvjqRnDjZnATw86fHo53L8qkcH3V6Fhw7HBwODPwIruSO33wQcnJk1zbxTmoLdYk6sjBpfa3PPj1x2V0weNU5EUzvez5lWn9SgFMLywC4/3JhEZgQNiH2mFA1Fw9isCEbWAgmkRgnMpSpR4TJLW0xtUqAbdh1ZkPMSmK3WCX4LIBtxCcpbunueU4pTk0R/JjRQ8CKQq/xFF1OSbbtOrm/aP/z6M/+n/paz4Fprlgbv4H8zM/mBn+wbC+PcRMD9kFSgus/0F90w+aXF4gnMu3wbfvB+9rngKpTYqCJFv3THL4sF7E+qqktdtQW+y2oXbipRtQa6iN3T4c2W19VXK7dlvbbu/QbnOvbt9uj0R2e/ru3dnx8fnp6aX5+ZWVlTXPbs/NZdhtXDN22ztBmam5WQIpGHMon8tuT03JJtjQwoI8KtguW+fJYZ4fQHx9aWmNfZudXZqaWmRXR0bmhodnBgamTPl3Kyv7r13r0s15NLfyAL0bnQxOngnOXAuu3QpulQXSw4wH5d2I0vgFcDG4qJH014LXvMCLTW54JEXtMDxiqX30KNe5GJQc1FZk6zUfxga57M27ZjnDgxlMR+yZollVYATG+5MJWBZWlpoOA2AWzGW+E4GJm6vDOFtZyqd163FgPaosDZnuWXUTj05YdTNgKStSIEiFtsJrwXfI9K1pjvLSXAlOacJxR8wh6XGA6YL1QxJV1/n3I7kkVZjOBDOzwSwaCUYAuo4C45F6u6KEhh/4bRm5i84H5zEvRwMZxdxNXN98apBE5+g1zYR6kChIknhV0tht91VJvXzfTtrtuEupX/wCu61BktBuF/CqpFDbRrcpbSu7Hbfddu02N+pe2O1F127jdtVuLyyIEQasExPijl27jYPOY7e9E6Tg3r7dhuAby8tr7Njc3DKPFn4WjI3N8aQZHJzu65vq6ZngW7S1jYJvvlRd3WB19UBFRV9ZmRjzK1dadWeU3XYiLQ/Nu9GHwYeXgkvXg+tgfW/dOkXhXb4MvnwveI/r/OXg5WeDZ61JV1PiBrWT1JbwSBa1rdH2qR3FBsPLPjIr4WWfJzb4058+k810xI4qklTypXL3xJv5JxOGZWFlKUTGWUNeBW4cgYn6gSED+CYnS6FwIrDutFjfllVnJjk/dCIwYFrJztKtaC5AT6AcJWnuQtw9AnuVzEWvFYPCU5fanjS//XMqmJoOpsH6aDDaG/TuxqF7ohwPGfzgxb+cDk6/Hbxt9iLgmlavDf74U4MkTEBtPpXaTOgVnFkn+eijajp8u53smSRfkISrnMwaJNHoNv5d7Tb3idptbp4DBz7ck+j2jRt7Y7eHhmK7DYtbW/MFSUhenETttneC8tjt9XW126vs28xMbLd52GC3eep0dY3zRVpbR5qa7tbXD9XUDFRV9ZeX9/KIKi7uunWr4/r1dvB96VLLhQtiGtzkgtv705OH5t3o0+BTrsYrwRXIfjuQl6Q8Ou9AFIJx+Tr4WtsvHgoOHQgO2Eh6FB4Jg9oOtb9IUVucyoEDGhiMqe3V6OS/5n/yk2d+/OOn/tN/evJHP3rir/7qt2kVzPRyY9V3FoGJKksBN/wFu8y3ERhcNmiGvMCa+ST16Qbr27HqBuueVdd2jaxCIfxiYJeE1AbZLN0uzR2gx2Y8V4rwWq39fpgLrvKTTyo++qjsww9LTC1fERYPZPBIJz/44Acajo9FH35Y+vHH5XaEKsW6U2ZOmS1LmgwmwfpYMNYX9LUFUkPloXk38pBxM7j5XfDdV8FX7wfvHwmO6A7Y0DbTSm0moDafSm0mklfwTuok1W47QRK3P6njxm7bF9w/4e6Kotv6gnsius1v5L2Nbnt2WxuTbMtua2pqWiFDW1sYJ3Hs9louu+2dILXbCwtqtxcnJhJ2mwePtdsNDbHdLi3tuXOnu6io88aNjqtX2y5fbrl4sTncpxzJI7Wn/BlcLu9GmGjc+rngHGS/GlzdJdbN1woo59vg24+Dj98M3jwcHH4+eN52xEhKU9tW5+yA2j/9qUvtxz1e55LuSZg8lLtiqaI5BPSOIzBhc3Wx24AYbw5zme9GYPiT5EVgPKvuMH1rq87vALXqzCEbq1OUDayrWGqnQ6VoLruVO2nTOlfOTOWsTBsuc8EJ04H1Rx+VmqqS2++9dwuOQ3PWwhXCd8hy8mQxS0F/xHSueLfwmOC5RLbxYHwimBgIBjqCDh2n0ePybuQhoygo4mfpN8E3XPS4GLZFeuwx/aloAnxBoNTWRUptJgoLksR2O+pPKhEkwe+kgiSJ/qR4ZBq7rW/c3OLwhkVnJTe6jS3dk+i2aUxSiN1eiez2ahTdXnOi2+t57fbGykpst70TtKXdvnkzttvnz/t2200WwTvQlqt7dN5SukvpBHZPBCe4ICE7OOb61Pker7cUq/BIUL/Cc+JYcOyV4JUXgxc1jK5MN9TeojrHXPBhVHBn1Da7ny8lMnsc90RuRXMIaL7mjiIwcWWp01z9d2ZkNSZIuSMwu7LqbmUphVCgBtYNux2s6585CK48LVDJ/ApZ36p//DFWHaxLgzwgDm48q37ypGfVueJt4TG7c2k4GB4NRu8Gd/cqjO7JQwbXPXfOmeDMqeDU28HbLwcvs0VS9GtxG9TmNsgVJIHaeYIkzgvuW/cnZe12bS12+25kt6cKiW5n2u1CGpOk7PZqXru94UW3eYREdnuF3VO7zd4OD7t2e0zttneCXLv93Xe7tds7ViElu8hGuj+5klsbaWrapYmUxrVZ+lbw1ung9NngrIZibgVhJ5EeuDOlOfkBqgNfaAydRwVAfzZ41vbYlYPa8qbCT37ytFL7r/5qD6jtZc6vbTJdIzB3to11rSwVrCebq5Pw1GEEJtFl415adf4kA2vxUPnk5TCwjhTifKo3Z9rB8Q4FfJPlANlwvrlkhemffIJVL4usehH+8a23rrCWtepcpmmrXjjWh4IhmN4f9O951EXlIQOmXw+u44k+Cz57N3gXL8NG3WSbkahV57cnXhtqM50MbWe2JMnsBXCLIInabe1Pytrtnp7JgQG12wvYbeCIt7V2G4DeT7u9Vrjd5nGidntycsFEt2d52PT3T7H/ardbWrDbw2q3Kysz7LZ3gtLJMvQBK71p3Z9cKU3t3LWRfmNtVudX4yfBJ5BdPTtkt55dkwdxm7ieeRKwFqsfD47/LvgdTuX54HnXoUfUfuLBUzu/tmA6YnsW0wLoipwRGC+nO4cJqSxNNlfXkDefMJc/8dpi1aM2MORk6V5ZdWaeOBBFYExgXbGuKN9DoGcxHdmlIdbx4FtZ9ds7s+pkGAgG7p9JRx4yYPqN4MaF4MIXwRc4Gpj+VPAU28Voa+M/t+NW5h88+OlLL2mP2zJacTq0rS1JOAIszZX0BXfbnxR22/YnZey29ie1vLS05tltLDBGOLMxyd7Z7fWd2u1J7HZHR2i3GxqG+SVRXd2v0W2eUgXabe8E6WWZUoKt90/hPuVIHrW5Fwy15T2yPG1IkrWRp3PVRj777ElYzG/Hj4KPMBxfBl/iu4H1d8F32uQx3AkTP+RPLuPLwWWsPY+Bj4OPuZiPBceOBEcOBgcPBAfswBckD6MqXZQreZnvn7ZmOmKHFM0hoDlNO4vAxJWlprm6seoSgXE6DIC8GoH50Bk0Q5nOnO1addsAhmmWsgrlsA+nDkkH61LtGcVbIgTvUN4NkyxQaauL5BflJ5/ElaXWqnMFwzVWdKz6naRVR1KgKTyGuCdQDtMx6TrwLpk9Iu9eHjLuBHf4lcqtAtPfD97H1CjT3cZ/Nq7NfPXaW1KbVFTUXVLSq3WSpj8p+4J72J8UZnZhYRVvi9nG6rp2G6rCVqxxujHJg7HbNro9OamNSUK7baPbnt0uK4vt9rVrYXQ73KEcyV5vnrwT5C1NKobvjhXuTY6kv0ftWzY601B7u+2187Qhya6N1Lg2LD4cHH4reOtkcPJUcAq4fx58DrW/Dr4G3+jb4Fumvwq+YiZLPwg+eCd452hwFHfCI0HjLe77ormSC9aHqB0xXSMwt7eNdb+yNOrbC+yGERjbYYAfgUl1ApPHqtvXSqMeYF79zQ8ph/LJxoqU9onp3ksbsUB2ljoI3p5SN0moZJnQ1mbOtOq38Kdc3KyV36pHJSc47oqlMB2ytwbSQNjD8Z7IQ0ZJUILHgencEsp0fqKyaRL3s07kSaYXwP7q6rgXQC9IAhkxtuvCbbHb0FPtNkgFrPhi3PHwsNhtLDPGGRBv+YL7Lu02u5JuTILdztWYxNjtsDFJ0m635o9u6xnfrrwT5C3NUoLRaYV7kyNpO67Ibme+0R5Tm/w84/nc1ls2Odprb6MNCdfkoeDQ68Hr2HaQfSI4gQ0H34iL9t3g3ePBcRZhzF8NXuUZ8FLw0gvBC9DcbeLionPfqiCmI76PxbQAujIQ3czAupfTzuHTqyzFWcNZ5mPVowhMdocBhVp1mJ606m745ehjf8IiMptiZWxl9kexLvsW87dQpW6MhCiTTyc/wNVFYtUV69aqa7tGY9UvsiJ3An/uzKrbcUSb+fdAmF4alOLTLwWX0kwnFRf3lJb2VVYOaISktXWUmZbaTDvU3lBqR3WStj8p6b4V1A4NrZsgSUH9SWU2AYzsdqGNSXK13XbtttuYJBnd7rSNScJ9ypH0gtlDeSfIW5qpcFdypCS17au/IbUdu53ZD0mC2pQGtfm0rV2V2ublMqW215dD+i2bXO21t4hrs1GuzOeC5w4GB48ER7Dh4Pu14DU+mWYO0AflGPMDwQFyut7cK2o/q1CmI75YgtRcBqUZTEd+zuhPJsLK0tSbpa8+Go5tzxzbXN2Og1ygVechYa26Ml1rSl979P/LY4NymEMGNwLDXmlLcwe+W8u7H3Ips1izKLbqpl0jd4sYHG4Step8Ola9JGnVBeumZJ/mKuz5zvp1KVweMsqCMmX6l8GXyvRngmf4wcvWvQiJVkgyX702GGXaBEmE2iZIIt23miDJmgmSbGG39QX3KEgSvnGTpHb8gnv6VUknul2Q3XbabveaxiRdUdvt+2K3dyz37CA7P9ybrGR+Mqq9EGon7XZmaDtRIXnkCOD+Miu0HfdDArVTrynE1MZuG2rbV4LjdxR++tNnfvKTpw21s9+ySct8py0SyMaGg28+uWIRHMeVu3FzkpbmFr7PtQumVwgwMitLkZ/Zxbr3ZukTUWWpGdsei43XhtGQWq26Yj2PVSdniPXQqoc1pTJ2s2PVFetSWWojMC9L00bdK4+8uWRvj0IkX3Yrq27aNYb3EncRrgezw4pJq16qTGetLa16U9DUE/RA9rqgjjwejvdEHjLKg3Jlur52BNP1FytbB6Ozs5umQhJqb6jXZr5Su7NTBsTJn9LUjoIkW7/gjt02xt9rTJId3Xbs9mDyVUm1221b2m3nRGdLr4r7Kt0T7wTZVHiQJGm3CwySJELbTpPt101oO+43jT2B2nz+bTTmtW38Z6j9QJuRhCukUjqbN2ffahtMR3wxRXMI6D2oLI3fLNXm6kxDZBw35E1FYLKs+nOOVc/bqFGZLpWlUQSGnwsagQl3LHUTuvJungJFsXw65YBdXRQyHX3ktGvkBtOKxMiq39quVa8P6ruCruag+QEz/WJwEaa/F7ynTFef3tGx1ta2Bbi1020mTJBEQisetT27nQ6SYLe1PyltTDI1ZRuTzAwMhHY71ZjEt9vXrrVvabed87gr6bWxM4W7kiNpDY13ggy4C2r/Z6mdttvPPRfb7agHni2CJLlC2+ynoGcrSpovlDN5mR+AHtZ2t6vdMX3HzdWlslR8N2CFxfD3NfPyUVxZ6kZgYqseNmrMtOonQqwnGjUmrfoPX3lEK0ulG14eBhSlEZjP8jLdu6m2JfmyZiJVpmvVE5Wl3Hvccqy4M6sOc9uD9sag8cEz/XRw+kRw4khwhJ+xjwePs3VNLS1Cdviuxry3d72vT9y6enYNkjCh1E7bbbdOMtmf1LwJkoRttzs7sdujLS0jjY2ZjUn2zG7vifSqyKVwV7ISV8JWdvuyd4IMuAttSeK+126oHdttt5viXEGSH/+4oCAJX0Q/8yQ3//7Rvt0xq+0xHfGVLKYF0JXScH/nlaUvRt3wGqv+SlxZGjZXB9bJCIxv1VlaiFXXRo1q1dnEW0/+OZndCAy7JDu2nRuvQFGsTqRKTlh1jcBg1bk/c1j1sLLUYt3ssM/0qqCqNWh98Ey/EFz4LPjsneCdQ8Ghp50+SI3X3hgfl6A51GbO3Nwm1GYCavO5Jl1OBbYJYCpIov1JTZsgidhtDZI0NAxht02QJGxMcutW3JjkwoUHYbd3o3BXciR9xkfUtq/b+CPaGLudMTaCe3ZQBO6dtCTJ/Ybk3gRJSF7+/a99vs/bZjriKyVIDdN3Wln6kRmzFByDYNw08yUC4zZXdzoMYGluqx4y3WDdadTovn9kmK5WnTnkYRUK4dHCHJKLdaXwnogydcLez9Emsq06EMdwOVb9xvvvS8dexqqXb2nVK4KK5qD5wTP9XHDuVHDqreCtl4OXbS3TyorvtZmpLUmYmJpa5HN0VIbCyV8nid3WIIm23b58eevGJO6hflgKdyUrJe321sMj6Os2WXY743Ub7wS5dtsESUK77bQkeckESbZtt63Cb5WVvJxpFZJnv6nAr/bApPsTJo/XhYi1LKYF0LnfLEV+ZgfrsVWPOoHRRocagTmmzdWzIjBpq06GhFVP1JT+GVbdqyllgvnHn/1LpklhBMYwXfm7t7LFuje8maNMF6wn2zWGvQVsadUVHC7Ti4Ki2qC2PqgHvixyWbxX8pAB068H188EZ7TjuoPBQdsIzHrtKLQ9yUylNhPYbdlDEyRhwquT/O67lv+y7bZXJ/n5wYOA262T9O22fd3GO0Ge3X64dZKZ2n0JD0UPfrfNwc5IiTwerwsUpVhMC6B3VFmKVdfKUugMjnHWoJz5YDdnBMZWlm7VqDFPTekrj/wxhejPAlahBG2uzv7cJ6y7ZbpE8Kw63s216tztrMidn2XVw8pSxYrLdFQWlIH1annSPgims7mrwdWvg68/DD58I3jjxeBF28kRqa5uCK9tQ9vM0SAJE9htkyVfcg/Xw1K4K1mpkOh2ym5nRre3aAKYq07yV7/KaLjtnaAddtmaTF7OPdeD2cqe6z7tsx6NdPKyZWqHTEdsICb1ritLASssBsGvRVbdRGDC8e0gtReBSVj1qKbUef/Iryl1rPoPXzFWnfSGVJb+BSVTlLXqnx15cFg3f8ZW3WnXGL6CxFrHjl3C1m3Lqt8KbkHeyqBSOydycbwn8pCRJ+G1w6ncyeyzfoX4yDxg6Z7kSjns9o0Co9ue3TbgPpUnup1+u12j2+7QqfmbAHonyM5H4VfKkdycD0X7YR+2qx3vsznk2cnNY6fziyc3l4E0K/JIXbjYmMW0AHq3laX/Drbado2vPPJDt7k6uBer7kVgdlRTyrqmfLHqID5ZWfq/2cpSy9+9klempUnKqtt2jfErSJ5VJ5tadYt18rhMvxxcBugVQcWDYTqPkPPB+U+DT98J3jkcHHYrSEnujnlyl5rp+LDcD5ndyU4F2O3EC+4RuAtqTJLLbiffuNmD9yStvBPkJi/nPtT3Yic9ZR5bnZkneflzKZkTcIfsRlwYPNS5Qn76U/Qsj/m//usDO2c6YmMJUu+sslSsetwJjFh1Q16pLPXGt4siMCxVpivWnfCL+/5RoqYUq85apNCqPyIjOPMn5ZONhwHlxFb9AUZgzJ/CdIt1p12jvILEWqAES4g9PHmyOGnVw05gFFiWj2eDs8VBcXlQDtmZ7xF59/KQcS249k3wjQ7r9WLwotfbkd2rtJJL9SvER2YHMhvMmcyB1Z9BYrcdcO+m7fZ9tNt5FH6lHMk7Qd66+198BW/O/pEe4UKSt+I2peA2vjsIXHbzmDfsfg7x4P+bv3mBC+nv/u5FriiuK7QrpiO2F5NaK0uLt431uLL0OekEBs7amkzMNS4bNEsEJuqyMY7AFFZTSmaStepuVJ1piE9+VjdWPW7XaPm7F1JDLa7ZzrQk0gzKdO1aXSMwcMdYdWnXqFadOQVa9avB1bKg7D5h3UPGpeDS58HnJ4ITrwSvHAgOAHRluu4JE3Y6LWdRoUw35WWnlN0uyrLbl5XayTjJfrTb4bfKSl5OT94J8pZ+L1TI19yBtNjdJK9AV/mXZknAraabayNtui27KRlwczm57OYa40pDGAWuOhwDwjrsJdMF0FCrYttMj9o1ilWHyFBYKzC95urpCExo1Q3TI6vu15SS7Zj21Oi+f2QaNapVB/RkYy3KEatu3izdO6yHNFd5ZSqkNJsbgXGtun0FSa06MzGbW1p1jPPN4GZJUFLKT6f7zPQzwZmPgo/eDN58OXjZDbzYnUE6h+TO1PnOnyHWTcacKbLbgDvsvtUBdyF2++vvi932Mhcu7wR5S/eDwm/4wJO3G3suZxNhkMTa7SS4/YCJa7oNuwG3sBtwK7sp2bIb68B1iIfggsRMcGXiKrhEuVDRbpmO2JgltTCaW3InlaVuu8a/xJvjoJkvEZiouXoYgYk6DGBpwqqnakrJQHJqSv8ssupho8bQqv/mhyxiozwtKE264Q0rS82OOQjephI0t/LKTGIdpgvWk68ghb0F4DHVqjMfroF+Muex6qC2KCi6HdzGsLPI4/Ju5CHjdHD63eDdV4NXvcCLuzNWdpFO5EpQm88sasd2+9ixS6mOANN2+wvPbgPuLRuTGGqHdttQ++HY7R3LO0H7MHk7nEuF53wg4oyL0rC2vGaHU8hOOG4Dbpfdad8NuDPYTcmw+9FHQ3ZzxeI2uHSxHVzDXMm4kKeeeper+j4wPXdlKfIzmz/5hKEYZPsKkm3XCHbjCIzbXD2KwBir7teUMp+U0agx9f6RWvWjUTe8FGIiMLts1xgTPC1TJhNh5iTTY6v+UdSuEW8OyNSqM2GtOtwnZx6r/nHw8cXgIm4drO9tBMZDBht6K3jrSHDkueA5N/DCZ55k4yRM86DiE3DzCbj51MdYptfeKkhSuN2W/qS4kYzdftHY7fCNG+5JQ+09eOOG5GVG4YL7lrwT5G39eyS+izdnFwqJHEE55HKazhbQVhGmQ1hbXtsIiUU2Yp+zqK3gFtPNL7xkzETx/TvFt+e7I3YD7rcpWdkNuLm28SVc5BgUrnau+eee+wjL8sILH+8B0xEbS5AacJVtg+k6oe0aP3QHt4usuhuBYRHw1QgMS61V1/ALc0hkQBKB8Rs1/lmmVWeC+aZdo4yvFFeW6o5F/C1MMb5zyZTJRLiKZ9UV60mrHr6CBOm2ZdVPBaeuBdfA+t5GYDxkvBO8g0k/GBx0Rw8gJaPbiTpJltogCdN4bT6PHj3PJ+yG2kyQIqMdvm7z4oufaMPtiNqZPZNsbbdNkGQv7fZ2k1fynss7Qd7Sh6eYqp4iyHoS2nK4LHlVhr8JBKflEtnIhbKV0DkCtGV0BqaNwLTVCx6yHWpLf5MOuK3pFnAru43vFnY/8oiy+3UuWsU3vtvg2/XdMbspmSuf6x/jgn3hdsDH4GbwNNwj3CmHDqHTe8N0xPZiUu+ushRAw1ZYDGehLfPhr4nASHP1dATGhl+YtlY9YnqWVf/tn2LMPasO5TPbNW4H6yGyt5QpkIlwxfxW/eTJ0KofO2atuj9cBtICPauOvgy+vBpcVbfOIo/OO5OHjKPB0ZeCl54JnrEmPSu0nYiQkMd6babx2nwacMtoCVyyfJIMsiVIYu02F33Kbqej2/fFbrvJW3G/yTtB3tIC5HLWI+kWMLVKUXVLPW3lkpej7fzpItiV4NiVi2ZDZw/QHqNVimkhdSaskYF1KPXaltoaLUHssHXchtqh6fZiJhG7Q3xzkcNuLvik706wm5K5Uwy7T3PjIO4g7qNXXvmG36/8in3tNXT2vjBdAM1v/V1UlsZW3XSt7jdXTwyaISjXpFbdRNWF6YVb9cNaWWrbNWpl6aHCIzAxrwuUKZOJsIQcWMeqawRGrDqIZK0sq554BYk8LtNPBCfAug6qW2QGTfcAvV1RgoeMQ8GhA8EB++5oFCTJEyERr01O67WZJim1meDS55N7gE913IbdEirhLorYbWPcIb7hAsQBQ0k8xZJt5E1efpQ5c//LO0FZdM4DXwvQXArtrVUSryofsshw1ioGbn5xCpIstrIsdiUO2qGzC+iQ0WlSJ2GtpPZgreGROEISITuMk7jU1qvXBkwc0x3HTCJ2h/h2rLfvuw8fFnwru/X3q2H3WYRDwichDNMbb1x88010SX74emjejdieJbUwGnBtv7I0btdoBrezVp3PuLm602EAi0jWqsc1pVu8f5Rh1UE8GViFEijQtmvMa9VDRm9XpkCdDotKYt1adfcVpLC3gLxW3e8tgOljwbFPg08vBBcgu2Kd5JG6QLHincDvnvv54Hl3aJgorp0RITHUDuskyck9YO6Ho0xze/DJTcUntyKf3FQ6R++6QjhO/jxJ82xLO1trK2W44Ai1GS44CVyVB1mUwKt3gjRDRFvkQtZnaC4Zq5tpeDPFabKczVQI3yR/XQmLEadAJ9JcRgbNW9LZAloYbQAdemqLaY/Ujr9OwPqxx3DZqthrK7UjcJtaSvmJGQe7k+D+2PpuxbdrvWG3xTc/ZxXfsPvo0ZDdlAy4ld3Hjl3G4WH13n77Kj+LwQKIkOooj8u7EduzmBZAY9XByzYrS3O2a3QrS01zdWaS3MpSYXrBVj1s1Bhb9T+iEMqP2zUelHaNua16SOcdy5Sp01JgAVY97C0gsur+cBlq1cngJg1qvxa89lHw0dngLFi3cRiSh+z8Ij+PhIvBRQ8Z2n5RmR5RW0Pbb9pOt5HeOXovcVORWX23cpy7kU9uWojABBjiE5TwCX0MsOIxTnOlJDr3QDnKtFD2bW9u8np+1vWtaXR6fEQWhVY+DS0iWeqdoOSKKjd/KLe0HAo5a5XJWeRx1soBrhUXgAtfFReGiCuEU5D0yyGOPSIjvcwiKZotna2bDhntYFrjIRbTrr92Ya0uOzba6rUjan8YRUsE3OxzDnD77I7CJhn4NtYbdgu+ueXfekvYTcmG3dcREIAJ2Lt3373FD3cQgc87ebJ4L5mO2GSC1BBmJ5WloVWHzrhsEAx5me82V+dPjcDYytLtW/V4qFJr1Zlm6fEtrHoI5V3KFKjTWmzaqleqVY8qS+PeAtJWnZmaNCcTJqgdtvzjmjgcHD4ZnPwm+OZ8cF5DMThuXcVjtyfNQ7oeXOep8FnwmYcMC3Rz4+ndKDeq3rTmZtZbXUGgBBEfxyoKMgDH9JbUVphaGXueSx6FC1RIahfQbNdyOUVkn8KZ3PSA6EHQRZ6Vgzwrj3oiBWIq58veCYrmS2avhEgxQ1MSmKYV4TUmbCZnrZLAtbLktTqqikAsv+EcHGcQOclln84W0NZNW0YnSa3hbI2KxIERtdiRyw6Nto1xR9T+LIqWhI6bfU6BOwx5R5ET2O1FTkL3bfEdWW9l9w1lNyVH7L6NuP35HQ8fcH5wAAsIMfaY6YitxqTeZmUp6FR6mnaN4rvhsrZrtA1U+CRB57Cy1OkwwFp15tia0hxW3e3VS7B+JLLqXrtGserxm6UxkfdETplppqetetxbgLXqTGvifDOHpVwW+huNS4cLyLxoE8a1XwheeCd459Pg0y+DL88EZ3DcN4IbxZyevOlWcOtKcOVccO6r4KuPg4/fDt72kKFJQaZos6Q2EouNFJGwMlwhR1IoMwFe3c9IcbAiJZsnVMT3WGa+ZHaobXkdYjpidMhltu6wOMZxFn8zQJnmYxqFmRxM4S+Ul03l5fFOUIqbKESnS8+kBKOZitiaIGzEWR+1Ri5tVW+pIvLG/HUoHLKY4+8R2YOyhjsivRf5aGulXTcdM9qx1ZbUMawPHowtduSyXaMtXjtJbRfc0gRAqyuN71Z2A+4EuzVyYvB9xcG3EDxlvWN287ObwpXdwAHZH+hwg0WSPCLvXpSZILWpLA2uZWDdz+kwXdo1hlY90a6RpBEY5iSbq++lVWeRtmuktFRlqR6+PVNUpqLct+oobdW5FFhLUwTxi1w6XExcW1xqXHwsyu5rO3jqSHDkRHDik+CTz4PPvw2+BdYaase5g28E6LHk/Hk1uAr3sfbk/DD48Hhw/I3gDVb3kEEyiAzBCjrNvJxJ8coEmfVTOWum47Zr9k87J4o4u5LtqqI8aVi7vPYMdeigFdYuoxXKgJitRyDOprAD0wxoZlIyDcQcNMwjj5JWwkrvBKWhaeXQUyX0zCUTi1DFeHXkctbKBa5KsOuQN4Svg+AYxIjj7xI5CWWXy4Jml84pNx0z2rHVQmoLaw2MuLw+ckR5HSPbCZXEjlsDJhbciN12wiZe1NtGTiy+bznuG3zfcax3ueLbslvuhxzpiy/q0N4zHVF6AtbsRsGVpa5Vh6dQFbZiseGs9pELc1/LqiyNrLr//pEw/UDG+Ed5rDpz8rZrjIm8ezkFpplurTpYj606V4bspLHhBuLSqoQLl8uaK54bgxuJDNzh3PzwAqC4zf6g1TPBM78LfofjhtRY71PBqc+Cz04Hp8E3wo8zDceZCfrfD95/K3jrteA1aP5y8DJm30NGOim1keG1q5C8KnLqpwW0mU586oSdRpbXSVgnzHVeUoewdlxzAtMOnQXEbNrlrwdfj6dp15kLl7nJ6JnQtN7NAqWV4NI7QZn0VDkMjTGalglEqGK2JuVy1soFrkqw65A3hK+D4JDCVhx/65ojWS4Lmh06u4AOGe1i2iG1NdcW1qHFjsIjyuvQaEdeO0Ftx3G74A7ZzW477M6Iekfu2+K71LpvNXNy0edIyu5ceiBM1whMAd3w8mds1aWyNOxaPbTqpl0j5FWrjtfWylKWwm74q5WlfLJKbNXj8EvG+EdJq/7HatV5eGS0a7zvERhFeQbWDdNDq05mElcbn9wG3E7cmdzqUAPEwCCQBKrgFxmgG6QzYRAJgGjow/L0QHAATB8Njh4LjsH348Hxd4N33wvew8W/E7wDx98M3nw9eB36Hw4OHwwOPh88z8PgieAJDxl5qO3KGmpLZ8Ru2E/EHjKtn1hsPqE2n3wLPi2vU7BOkNrBdJrRgmnLaAfQaS6HIAa+bDqLtj5MHXT69MzDzfysTFHS00cqD53eCUphVBXD1Cqiqg9WTwayHmcTcpjryuOvSiicZHGMY8TBt7EOj8tGFs1CZxfQrqeOSC2Y9mBtLXaa1xbZbpwk6bjjgIkDbmE3ux35bp/d1n2TJ0/6/POazz+vtfriC2SQbZiuebKTh+O9EiUnYM1Tp+DK0tiqh5WlYrq9do3wnT9BM+R1+/ZiabZVzxqqNNuq/8pYdb9dI0zfgwgM6+ZPmUzn0R0uNg9/rjmuZm5p/oRH0ApyQTS1omAOu6pAdGr/MmTKC2D0s8GzLwYvHgoOgfhXglf4RPyJKwflGHMyuO+Iesjw2K3KJLgV1LZRbArkqcOnjV+DbD75Inzqwwlk82l5bWGdg9Sxg3YAre44geYUji1/LW0FrGw6N2QTMDVKW1EfoFuiMy8xPVBaCTEVmt4J8tCpcgCqijGaRwavqhiymUqS1+rrJIVVwmIHxwkoc/CTXM6PZivLaItpl9QerDN4bZEdeW2f2sZ0F2eBW9jNbm+ZDBP0Tg/vetv+eMv01VdNX3+Nmr/5pgV9+23rmTNt6OzZ9vvFdMSGY1IDJYBWQGWp0lwCHYaeme0acdOvPpqvby9lurXqrLulVVemx1b9kT9mPjlZkaLYB9eq7ziZloUqOfd6HTDfXBZMS8dVmYkriYuMq5DLl3uD2x4YaWSABA01TAwcjSsP333XpXmSx/fHg8efDp4G308GT8J6/kS6SJOacQ8ZHs1VSXDHnT5HXluNtnhtivWQbTYVKLKZANk6R3ntwNpa6ZjUimnLaAV0Ese54OsBNyYsm06BNW1Fd2JC08pPzCQfXSUo6Z0gC80UN12FDE3LINVTSNg88uBr5VDY1flMKCMOvuVybjS7dHYBLYxWWVJnwVrj2sLrLGQLtc0FuI2ED7PSWIpVmCN3On26/ssvG778svGrr5CAO2J3q7KbPLD77NmOc+c6z59HXRcudKOLF3suXep9QExHYtXRVpWlHtPdV5AgMhQGvszP+WapMj2HVcfRJ6z6E75VfwWr/uvQqvMnm5N2jaYTmE+SlaV6vo3k9BvJ1WAuC70+pG8TlV5ARuFVxRVmLjW57ChNr0UuTT6Zw1JykkFncvlylXMvcVeDD3jED3/oBgSV45RAgqGQVKfdZMFdoMLVTLKRcas00wsBN3Y7Co+o0Rav7VBbw9YhspkG2XzCaz7hNZ/wms/IUyupBdZKasW0RbML5SwKZ5A3zVzLVrarE+jIkUywJpCaG6A+LlGSlShBRlUuPhp5cBR5JyiaL9xModNTSFJV5HM9hXjNlGGuq5C/VkkQW7lEVl1RNHPwLZoNlzPQjKIAiCq8ARGr70lSK2YiJ2H8RGWC4GEsxQqOh6tlJUU2vMZof/tty5kzYDp02Wq0I3UYagu4Dbu7InbLoL6w+9Klvu++Q/2XLw9cuYIGr14dQveR6YhtW1ijAitLc1l10AyLsc/MhLzYavw1RBarnqos3Y1V164Cjjzyx7CebKyolaVuu0auQntFOpesXtly6Zu7Qu4TcyOFN1t0H9rbNbyxKdBQQBodIiaYyRymgQvEgUQAC4RhQvGnjzxyFERCz7QZt1zWiR2LEjQ+nnbcHjIKAbfWN9oQtmO0xWWzLQfZ0lUAyOZTkc0EvOaTpLBOMjqNZgvlDHvrkTcN3DRb2a7D0Fj2tDpy+WgVUxI5cLSKmegqFxZV9vJLyztB3lIjD6BpCVKThtdT6H+tIuC6ks7aHm5yvFfouFOS38opaQjFKvx5nWZ6uJlU+uKL2tOn6yy7v/mm2eBbkA2mL1zovHix+9KlHqB85Up/JEHz1asIOquGrl1TDaPr14dv3rxbVHSX8u/cGSkpGS0tHSsrGy8vn6iomKisnKyqmqqunn6wTNfK0hsZWHdzekx3X0ECyo5VT1WWykBI0g0vS0Or/nyGVXcaNf65MN0dKyMa1i6y6j/EyFMyq1OaV1lqMWHZYWkCWRQxsMb8Khf6aB9VKLKQ+mNffv5TWhQKEL+pxvO553RsnfDFeggIE6Ekmd0EcBW1YJc/AbGFsgV0Hrngtu1JKI3Vk447rJYE3B4yCgS3jY04Rjt02WyL48CnddZMc8T45ADyyfHkk2S9c3TwQzq7XHah7Drc3OT1UOsjle1uSdIUE1F+JqItsWh/1SWkhyJP8k7QQ0yOd84Uv2VjT51b+vPXBkZc2V/JItOqRBWj3CoH08NQeFIlHtbD75NKn31W/fnniu96B9+tZ8+2we7z5zsvXOi6dKn7u+96L18WfINsGK10vnVrtKho7PbtiUiT6M4dNKUqLZ0uL5+urJyuqpqpqZmpq5tpaJhtapplu62tc21t8+3tCx0di52di11dSz09y729K319q/eX6YjNW1gjCb+UZjAd2ZwwXQfvt1h3rPq/xWKrVT/86z/yKkvzWnVh+nasujAduDOTbKxFIW5lKUtJhrnagME2ctDmtxLVNc3OBGQa8AVtRtrKTV+7kNAw+KMoPtPSrXgJsELYv5UXMgHu80wzhz9BMEs1AgOm/8q0Ac8DbtMQ0A2VxO1JAPfPfx4OrWKrJS24PWSYtiIK7pDdHriV3TY2Ehltec6pv1ZkQ2o+FdZMAGvzKf0WQWo+PcusgM7isiVyGsQJ5mYSNs1TNmp/47tKEUq1Z7/3cyWDQm+jCXknyFtqwhTp7+LJW+U+aY/tNI4UAABg5klEQVSZjvJgvUCmh0c5mT41PSl9/nnNF18ovhtc933uXPv587H7NviG3YPXrw/duAG+Ryy+QXZJCbCeKS+fraiYr6xcqKparK5eUtXWLtfXLzc2Ljc3r7S2rrS3r3Z2rnZ3r/b2rvX3rw0Org0Nrd+9u87+jI1tjI9vTkzcm5wMNTUlmp6+98CZrpWltzKw7uZMWfX/4Fp1QKxWXds1msrSRDe8Sasehl9yWHXD9Kxh7dSqg3iIzzPgPTu4nWPVsaW/+Y2+XQLspAdBBP6M9P0UfZdamtmZuET8MjfoRBSSJzn+V2Q2JI3NdSuGtkeYYBMUCJGhM2sZXovMdAhubbudBje75IFbW/5pzaRTLRnXSXrI4HlmQ9vmd4YFt7Dbhkc0KqJGW8HtWOwEsiE1E7hpPiE1n5CaTzBtPmNGK51dKLtEzhVvTfMikxFwgc3tIFmsuKVFcrclsrQycncsIcWfI4vFDHknyFuq1LZHxlUEdCtvxT2XfBfvm+ZQfJS8A+gdYXvwPaCjNNPDE5ZMn5haTSW4NeDffBPGvtWAG3xjwHvUgBv3rQSP3bfB97SH75qa5dralbq61YaGtcbGtebm9ZaW9ba29fb29c7Oje7ujd7ejf7+jYGBjaGhzbt3N0dHN2G3Intm5t7s7L25OU5pMD9/T7WwEGpxMdR9ZzpiDyysUSHtGsWqG2harJveAmQUJGPV/+L13/4pbpr5Uln6mF9Zats1xlY9YnrCqid79cKquyNQY9UPabvGx/x2jVpZyiISxPzP/9m+BG/fg5dPlWbLlRSyTBi2CqDh6aPSTT4kBaOqMHyBEY6cfmjzycZzRV8pAs1gmqL0aWGfGRbcUZhbwS1PC/Oo0GiJBXdiNCxWV9NtG5AAbpcXKAK331FRxG4Jjyi4NSTiuGyx2Oqs2RCw5tPCmmmSwpoJ9cukiD4hFOw9797h7i3t3sO5XFiuZL2bW0hSMTIchVixoHFk9zOUSysHYb4ilKssE7PlnSBvKbC2EM9UEuvIW30PJV/H+6Y5FB8l7wCmjnB48I3ikxKe0WT6yLzp88knMmL7p5+6NjyuwIw8eEhwGz/JNOBlZRB8rrJy3uA79N0NDStNTSvNzautrattbWsdHeB7HXz39AjB+/oE4oODG8PDGyMjm2NjCvHN6elNCK7UVlgvLd1bXhax5ysr91ZXQ62thVpfFz0IpiN2Iga3WvWifFg34ZcY63xijaW3gNQoSHFlqbZrNBEY8A1/WboNqw7T1aqHTBerrky3Vp112TqPFteqb5mymoL41YkQlpywFbCCVHhqSApGhaQGpiFPDxwIO7A10R4J8pAZ6ANlngTGy0tLEuPuRUy74NaXazxw6+szqTC3RPZZ3YmWhKbb5QVKm24byHbCI2FUxAZDHIsdOmu2RbJ3u/6p9zAT3KI6x/I0Aq4NehbUKNhWc9mKLxszRRpItSi3shtNKaaGo5ApHmuMXBiJXFqlQBYrornKMjFb3glKLvV4XbjcQvZK8nW8b5pD8VHyDmDqCMuRD0+2kzi5Wrf5cfSupgmnAPHa06dtKFydeAjxixfDOLgTBBeIFxePG4hLvLusDA8+V1U1X1OzUFe32NCw2NS01NKybCInKx0dq11dq93da729a3196wMD67B7aEjwffcuBN+IQiibU1ObMzObc3ObSnDAbaltYb2xcW9zU8TXuXcvnGamLlWsk/8hMF3AjVUvz8d0lGnVPza9BWC6ISwIhrzMt5Wlx6LKUuArlaWOVYfpcU2p11VAiHVp1GiseqKrgEO/zLTqYbtGFuk+24pKS3AvypF2yoa5RxW1BrLSbs844pMmiCH9LCtJrRFWL8wnc+AstCWbQXzcQbm+92jsvIjpCNzZ9ZOpMHccLcF0s7prug24/ebPadOtsWwnPHIFdiu4NR6it7Teq3pbgkK2BSX5VIwywX1oPgXWedoY2MS9yh2blDQ1s60UjPIxHeVgei6sezRX7T3T0cNmOnLL2ROF38j7plmKj5J3AMNzn0zmVCYIbjpLkZd6FOJffhkGxBXiJpwiEL90SSszNZYyHMVSQoiXlU1XVMxUVc3W1s7V1883Ni42Ny+2tCy2tS11dCx1dS339Kz09q72968ODKwNDa0ND6/dvbs+OroOuycmNnDfsBsDDr5nZ4Xg8/NAfHNpaROCK7thtLJbqa3IVliTR006SeMtuPi5ORGOHs3MiB4Q0xH7obBWbfkKkrHqIc0t1jN7CzhsrHqeTmASVt0Nv2T06uWOlSHvH6lV5+EB7skcWfVEu0bdZ7AO06E5HLdBarc9H35Z33XUQIdy3KBWIhtAlkKU4yb6fBqMKkPxv07TDhEzISwZDh2SZo7g2LSikWYzYJpyLLL1zxzgzhct0S2+mtXJnMsLlGm6o1/xct9yT5rbT0kXBkMMK4WhkXsSZHP78ZknmZsz1CefyBu2niKU7wumF4J1l1ZJivmyBExiMUPeCUoudRm9M7ml7VLxl/K+bErhIQqvAydxFjhBnDjOqTnd8s49l4fWagJx0y5Fm4T7jVLcKs2rV2OIFxeP3bkzXlo6UVExVVU1XVMzU18/29g419y80Na2aPC91N293Nu73Ne3MjCwMji4Mjy8OjKyNja2Pj6+Pjm5PjW1Pj29MTu7Yaz35uKigHt5Wdhtrbf13WlwLy2JW1dqK6ynpyWkPjnJ+ZQ0Pn5vbOze6KhoZER09+694eFN9PCYjlXn/s37ClKGVTftGq1Vh8LasZfbCYxEYLzK0rRVz91VgG/VfxVadeZQOGtRSGzVk1j/679We37QGPPDJjh+1BA8jok7llk4bmgrHMcaa/MPqGpgGmLUBC5Uto1z2OadDGRzEX/4sDSjpBAD61Dmz3zgzh8tYfXIdIfgdnmB9P7UG89wSsEt7FYgGlYqSdU3bfFShn1h2rw8Hcp0kyA9Jbhyaa6KUO5qB0z3sb5NpqPfY6ar3DJ3o/BLeV9WFV4QTuKYczrMmbKXUxhIURsOwcnmvNcjEDdNUyzEceI2Jn735k0NiENwaehdVTVZUzNVVzfd2DjT3Dzb2jrX0bHQ1bXY07PU378Mu4eGVu7eBd+rY2Or4+Nrk5NrU1NrMzPrc3MbCwsbi4sbxnRvrq5urq1teo7bUFuWkgfKw3qIj2HHtmPesfAY+YkJiaePjUnt6MiIVJOC6aGhzcHBzYGBewMDm3y7vr5N1Nu72dMj6u6WytWuro3OTtGDYzpibxTWKrHqtzOYjjSnMt3DerZV/9UfuSNmpCtL+bRWnflJq75FVwGRVU/1FuC0a7S7raEV48rFkif9+Lv4cRvuwDKrUwa1QBbCavMPg1SBqYtRV6bhc/jGE7QlJ/mhvCIeZw2mKcfAOpT50zbZzgxzZ0RLjOkOW/LpHWjutFseMvStjeg2C+80vdmw0qyemYyHSsjO3IdMR0mUW3kot9oZ01ECaq4s/hwgZss7QcmlLpd3L7fknSn+XnphuMk6A84Lp4xTqYaAU88lwaViajWlcyvHibewoo2lmIA4BHcbpUggpaRksrx8srJyqrpaCN7QMN3UNNPaOtPePtvVNd/Ts9DXtzg4uDQ8vGzwvTYxIeyenl6fnQXf64rv5eWNiN2b1nEruLHkgBtqz88LuGdmNrDtU1MSgRkflzD6yIiE1IeHJbw+OCgNXfr7pb60t1fqTi2jOzpE7e2itraN1tYNvl1Ly0ZLy3pz83pTk6ixcb2hYb2+fr2ubr22dv2hMp37Haxfz8C6zVmIVQe+zAe+r/7G6QTGqywt2Ko77x/FXQUc+uUfUoha9eNS7L9lB8LeAhyrrnuOK9d6zqee0hYjJw8cUI5r6EOi1bhm9csAVzkLYcErYKUEeKrhC73ozS0tN7xBQHhXa3CDbJAXBJv3Wi+BZgBNORQS8VrEn/nBHW1OtqgEMcQRKrGu8sugTajnIYN7jDy5kmK6QNn8aaznYHoa6x7Q0fbCLw+Y6cgBupzfPLL4i4CYLe8EJZfqWd5bueUXKr083MRx45ByqDkLhRHcVmxq+0JpmgLBKcq+1GPqM7VFioTCq6tnamtn6+tnm5rmWlrm2tvnOzvnu7sh+MLAwOLQ0OLIyNLY2PLk5Or09Br4np8XfC8tbaj1Xl8X600y0RKZA7sjxy2RFsA9ORmCe3QUcK8PD68PDa0PDq7396/39a339q53d693dUnTl44OacLY2irNGRXQ0FkBrYyOML2GampE1dVrfDs+XVVVoVWrB8p0xA4p+0ICwvSSDKYjzZnDqssrSDAaNMNiteq4aWnXaDuBSVWW5rTqW79/FFp1+A7uKZl1KSqXVdfgOH5czbgGr03047RyXC05KHctufHj0s0LJRh8QwQbvlDcCHoUN8xXdpCNzOYmDxH/julJhkKU1yr+tOA27OamEkYYpih9ZFvR5nzTzercWnxq8pBBUhDvXrao7xHTc2B9fzLdBfGey24lQ+YySSSOEgeQA8sxV4JzsjiDnNY8BNferJIQ79NQ+M2bI9qskMLLymZMc5S5mpp5U5m50NKiofDF7u6l3l4JpAwNLd+9uzI2tjIxsTo1tTo7uzY/v7a0tL6ysoH1BtmO9Q4DJvB9fl7ZLUHziYn1sbF1wH33rgX3Wl/fWk/PWnf3WmfnWkfHWnv7WmvrWkvLWnPzWlPTWkPDWn39Wl2dYDqCcozjLaWHrqpqpbIyl5YfNNMR+6T4EwICCrCet2v1XFY93QcvzGVC2jWmOoFhaaZV37qrgKRVp3zTW8AWVt0GVTyIa9zDWnJQbi05dyy3Nxc6VzkleFc5czQpxRRV4AkepSlPOeSMkCEc4c8I3PY5sfNoiYcMO3/3sltJMz3C+kNk+ras+v5keuHyeF24whL0mrEpuvwsxDMIbnoJzyC4BsTPnu04f95CfOD69SELcW0YXlExW1U1X1e3wOZaWpba25c6O5e7u8NqzKEhDYJLFEVDKNBZDTjIVnYnrfcG1ntmZmNqSvA9Pr4+Orp29660ZhkclLc6ld1dXfKqZ3u7tD1vaVltalptbFxtaFitq1utrV2trl6Bv65SCLZatqqoyCm+WjS9VF6uWlSVlaEF9JCZLgSE6aUZTEeac2ur/tSfw3FmGque6AQmqiwNO4FxrLowPcR6jvePclp1O2BpZNUF6w7Tdc9tUMWDuMbHcdNYci59bmMu9+hah+NyobO6l5R0KPw7mRRnyi/uFsphpiFUCC9mMkcZZzLnBDfJbiuXPGR4S3cju/XcTE9gPYvp+7/py/eC6duTXjlu4iBwcDhuHE8ONaeAx+2pUy7EEwTXTmUdgkv7QlOrqR1dhVWat26NFBePlZRMlJVNabNCnHhdnbQKb21d7uxc6e1dGRwUPwuC8dEQGS6DbzC9vCzB7nTDEhffkfWWZojge2Bgta9vtadHXtA37F5pa1tpaZF3iBobV+rrV2prV2pqgHVMZCsL4pSWrCIuZypBaoG1SaWl86ikZC7S7J07otu3Z27fnkYPgemIPYvxp1Y9q7cARE5hehLrfEYde/lW3esEJq4stVY9Cr/ksOoR07N69Xo5sup4eWPVM3oLsLudA+IYGW5O7mS1LbFnYRWblGuFK1xtO8krYVvykOEt3Y3sjhXIdOQBHSWB/rCYjn5vma6XkJv4mvYnIH/qJc254ARFBNeG4fKWphMKj3srjHoD14rNnitX+q5dG7hxY+jWrbvFxSN37oyVlk6Ul09VVs5UV8/V1c2bt3uWISyo7e1dxTuPjEBk0CzRbfYhV1vA8XHVJvjGs+Pc1X0rvmF3V9dKR4eye7m5WXpfqa9frqtbrqlZVnZ7XLZKE9mTAXQC0yrFtEPqENN37oBp1XRx8RRfqqhoEt26NXHr1rgc98zk0fbBiO1aagsBcY15ewvYhlX/5R/6ncBElaUJq56rpjTEum3UmNFVABNq1VmRx0Meqx45ce5Gbl2FuP/bk2yalGXfC3nI8JbuRvY47CnT0Q6Ynol1j+YqD+VWe890VAjWvRPkLd2u9Pp0E9+CL8h355hwuDiS1oZ/+qn8BNQ2hanKTCV4woZHMfHeCOKDt24NFRffvXNHOpItL58wTVNmnHd84DjYlTczBwcx1BsTE5vaEYpSe2JCkM0+aJPtoaF7g4P3Bgbu9fdLQ8CBgQ3TE9aqIfhKTw+PBHnhE49PyQ0NsHuppka606qs9Bit8jGN0oy2Ki31eO2SWjCNFNMRqfPCOpmuXbubqYfDdMQ+WfwJAbHquXsLsEz3sG6sug6X8ReAOLTqWlkadwLz56FVfy5l1bd8/8hYdcP0lFV/PNkHb/IVJN3trOs+ERyXdP168Mkn/G+5tv/l8gJ5S3cpPRQO02Os52B6Guse0NG+Yjra10w312Wc2GG+Dt+UI8DB0SuZo8qh5vhzXjhfrg1nlVyBlOhdTY2J91+/PnDz5lBR0fDt2y7EJ6urp2prZ+rr5xobF5qbFwFuezscl3Yjg4PSKQrgRmNj4bs2Cm6o3dd3r6fnXnc3Xzro6LjX3o42Ozo2Ojsl8I0B7+ykqGVD8KWGhiUleFXVYkVFGtOufFirLK8das/loja8vnlz/ObNMXNQ8yWP0dvVvmE6oMvbW0CmVYeknlUPh7PI7AQmisCQn4ktGzVGVj3ZVYBa9V/9EfNdq+527OXuuV76TLgphNedO0FVVVBSEpw/H7wq/b3o/P0vlxfIW7pL2eOwt0zfFtb/i2K6uSQTiZ3ne/F9zdHgKGUQPI8NpwQluI7LYwLirg0fLiq6e/v2SEmJjOdQUTFRVTVVUzMdQXy+uXmhtXUJ8ppuZuG49FAIu4eHhd3quHt7hd1dXfcU3K2t91pa7jU332tq2mxs3GxokNhLQ8N6Y+NqU9NKU5MQvLERgi/W1CwqwT06p+VabE+W3R641WVvCW4PwXuuh8Z0xNez+BMCYtVz9xZQgFX/S2vV3cpS2wmMYD1l1WF6Xqv+J2LVw/CLWHVKVqvOn6FVt33wZll1TQopT7KgsjKoqOAkBx9Jb1lehn0rDxne0l3KHod9yfRMrENAj+aqkOlZWH9oTJerLpnYPfMV0oEUITjHP1cgJY8Np9grV/qjgPiwCYjroDwTFRUyHI8Z4WG2oWGuqWkh6i9FIuOmu6uN/n55ZzJi92Z392ZX12ZnJ457s71d3rtpadlobt5oatrQ1txOI+7V6mppbcIOmB7JIfhCRYXPaysP1pHmkILb8d2wW/BtgySw+8aNnOz2OPsg9TCZjvjyMbix6ih3bwHa/YvHdN+q//ZPIC/zo8rSsBMYr7I0bdWPe1bdb9ToWPVf/tFLfy9YF6v+ZDRcRm6rbmmVlph0rDqG/Zz0GO4t3bfykOEt3aXscUgzPRPr96PpyzaZjjyaW+0909GWWPdOkJvM/mQSvJD6zAyC67jGOgab7b+QDWkDldu3x6M2KjpYj1ZvLjidF65px7OKb33T3b6S09a27jbubmxcq68PmwkafGsDweXKSq2iXCwvD0nNDiQxnakY3EaJmEmBAROPpw9R4Q6RPMg+YLEDFn9CQKx67gFLc1l16YM3tup/Zq16/k5gIqsuTI+teo73j7xevVyrTrGsnseqK6EyxVJhOlb96tXgA+nDy8uwP+Uhw1u6S9mD8BCZjr6nTJcrKnl2EImd50spwTkgHKI0wTMDKWfPuhCPCX75soyfefXqoEJcO065dWusqGi8uFje+nHajM9F/dAuRd2Ir2G38d1dXfeM+9YX3wXfhuCrzc1xY8G6uuXaWmlzUl29XFUlVZca+85rtNNM99it2ga+PYA+FIW7kiPxo4Gd5ys8ZKYj9iYGNz4drOfuLUA5rtC0E7hjteoAGpcdW/XcncCwVK2616hRrXqC6Wmrbt4/sladnKFVTw6X4e65QiotFnHpCdZv3w7Ons2Tc1/JQ4a3dJeyB6FApiOX5qok0FV7wHSUornKQ7nVfWe6XEJOYqMffHDbO0EkjtKWBM8VSNE+xFMED4eD0Jfv79yZ0jF9yspmy8vn2GJV1UJNzRJEhss6oE9rK+yWSsu2tk0TP9EX4nHf8pKOxXdt7VJNzaIJmyxWVCyo9S4rC9Fs5TA6Q+wAnxG7Fd8xwaPA91hm8MQj6QNWuBNZ6caNUQtu9l9DQPpA4nshviDaX0wXAoL13L0FbG3Vw0GoxarjpoF71AmM067RRmAcqx51ql5oVwGRVf9joL9bq15dHZSXB1eucEfmz7xP5CHDW7pL2SOwD5ieadU9mqs8lFvlYjraCdblakkmts5escN8Kb4m350D4p0gUiFtCpMEl0BKBPG7N26MuDY8CfE5d1xNHZuNLdbXA+uN5uZNU3u5aWLfGv7Wl+NX9W2dpPu2+PYZXYAS+GYHDMGnrQHPFfv2kPoAFG44R7LUNuD2qc03MuCe4Wvq99WvH/0ckQP48JmO+CYxuNWq38jAOtlyMT2XVdfKUseqh+0atbI0tur5a0pzvH+kVh3Wh1Y97IN3+1a9rEysenFxcEYG5NTkZdtX8pDhLd297NdPYz0H09NY94COtgy/3EemZ2G9IKbrxWATG2If2D12m69jazI5Vq4B904QqRCCO2Miqw3PJLjYcAfiy3C5tna1rg5Sw2uoDb5lm6b9yUZ9PVrX7k00Am6C4GEE3HIcHjl09gS2MqT4dgx47MEl/pCVPLa6CnPsUcpfYC6vXVTkUjsGt/m+cigU3Oax50paW9pWmGjfMV0ICNZLM5iOyGlrSj2sW6sOXo1Vl4691Krjrz2rDsFjq56rUWOI9bBRY9KqS6PGlw3TQ6seDZexE6t+6VJo1b/7Lnj33YGBgbq6OlbJv9ZDlMsL5C3dvewXf7BMT2A9N9Mzse6h3NX2mK7n3SYKZ6PsW0RweamHI+NUY4bu2zXg3gki5Sf4rVsjRUUyEIQZzScPwUMbjst2CY6YcCHOFk1DFFuTqW9gKsQRJBI8OeBWubxOyyU4+M5HcJfXVuGyrKR4VbZGYFWehvum2dxnibMzsj8q9kpzklLUDvN4yLZbUWRHcqmNtJl8DG6j8E0o+yKr0cPowytTHIIY3BWmAUxWx16InMpxhaadUKv+gVr1p/8cCieserK/xhPWqm+rUaPz/pENvzChVv34Lq16ZSVX1vT0dH9/f0NDw/Xr13WRm3OfyEOGt3T3st86zfQI6/uO6dsPv4Q0l7PvJDbB1tkr9pkvwrfjK3MobEOUr74KB11Lx0+sAfdOECkPwUtLdVxNHd4+QfBcNtwjeF1d6MQtxBEbBeJuUMWgKkRkpDwQj/FtWKlB8C0IHv6dIylbTYFCVeYYkgpM2T0oqUw0vbXwHAq7Qqyult5j7J9W2vcW+S1bKYGclKZfjWn9LuY7xt86onaa3S6vrbLBbWW7l4n6AlvZj0wXAsL03L0FbM+q//0fartGjDamO23V+czXqNFY9YyaUqdRo1j13/5JbNUPbtuqz83NrZo0Ojra0dFRXl5+/vz5Dz+UYee8nPtBHjK8pbuX/da5mZ7A+ver6Qvfzk2UaQhubbgbSHGD4GErlGgY+zh+4jRECQ24d4KKiiSUbAleVjZdXi4tUiorZXDkqqqF6upwkPvIg6+ZLry3QXDrxK0ZZ4tZZjxNcGt4Q4IbSxvi+2YBb126SYmf9toeuCEgjyty1tWtNDSsmFeTpMUkam2V715bG8p8WRmGoqZm3VV1NbKd5YYim0P5RbbInK3YHSI7D7VRGtyqqLvHxMNmvzAd8f0tuAWCYD1PbwEO03HEaoqNVf/3kVX/C7Hqjxir/kv7CpJj1aNXkHJb9UIbNcZW3fTBa6x6YhDqeLeT8LIaGBiYMYmJxsbGmzdvnj59+q233mJRnrUeljxkeEt3L/uVC2S6wfoDYjpK0VzlodzKhzglRxAXG/7ZZ1VOIMUOYK82PBEB1+CJxXfuhihj3gmC4GxXCV5dvVBTs1hbG7ZIqa9fbWhYa2xcb2raaGrabG4WgoNvVZrgplbTJ7h14rZ1Chhli3nYrdKohXpwcJyrGtNLatgV3KYcC26hNhmUjwpuHlSm4Y00jmxpWWlrW43G8hf33d+/NjAgXZ/rWP466lBvr7SzbGnRJxnHD/RvqmprN1BNjSsQLzPJpn+Ce8AKcNkHszMxu3MhG+WiNsoEN+IHRE2NnBrzK0p6Zm9slFb8+5vpFUFwJQPr5LRM97DuWnUgC2q133Nr1aW3ADMONX7cteqw2LXqMJ08CaY7Vt3tVN216jxI1KrzaNmWVW9qaurt7e3q6qqrqysuLr5w4cIHH3zwu9/9jkV51npYcnmBvKW7l/3Ke8p0tAOmZ1p1j+aqBMr5CjZRlIG4xFKS0fDQhttASmTD3TrMzJbgim+Nn4zfuSMjsbkG3DtBEJzdAG0NDavmtl9vbt6AWdoipbERfAu7lQ46gQzB1YZvTfCk+xZws0WP3VYKcXNsspOJRCfiJJSpEQwFt1ISFLJjNTXSaaKCm3VbW2Nw9/Ss9vVJX+eDg2vDwzJ4RTQGtAxIRGY7cj9aXBQxZ3JS+pAB6/wuUZNeX8/0PVRXhyB7QswhjzNHEG/JzqKdIRsZakvgy6M2am4Of1W0tclgSR0d8pZWV5cMorSPmI74/hbcAkGwnqe3gO1Z9bC/RuaoVYfaxqr/G5YW0Kgxs6Z0e1adCUVVWnfu3KmpqSktLb1x48aZM2dOnTr1xhtvvPjii3lWeYjykOEt3RPpF3eYHmM9B9PTWPeAjjymIw/rO2c6O+wmCk/FUtLR8NCGX7gQDmDvtQS/cWP41q27RUUjxcWjt28rvuW1zNLSybKyqfJyGYytslJe6qmuThhw7wS1tAiYTKcoOHFtUKjuO4yc4L4dgsMXpY86SrWZAnFDcBtLiQnuGXAlOFvUakxzPDKSJTXTCmvldYRspbbYbQvuhobQbre2yjAUpi8BwC3DUwwMSH+5FKXgNj2nS5fos7O28/R43Gcz+JyAeGVlfWVlbXl5bWkJrS4vry8uyrBzvb089uSpRp7qahk0Loq6iDd38A3QBfRkc+bwAOBTHb2EaFjqwRqZPgxQGLdhEwpu05ZfYR2qvV3kUrunR8RO9vXJkHims0n5hcHvjLt3H+wY01uKL2+pLRCE6eiqj/XPkkz3sJ5l1cOOt2Cx9hYgWM+06lvUlOZq1PivKYFnhmvVt9UAhvnnzp07e/bs559//v7777/++usHDx586qmncuV/uHJ5gbyleyL7xfeW6duy6rmZLlhnD91kYilxy8J0LCWy4W5TwjCQErVCkQpM7RqlrGy0omKsomK8slL6KaysnKqqmqqunq6pmampma2tlTfs6+sXGhoWGxuXTB9VkE7ez2xtXW9r2/BOEMacPdQm4cZ0KytDXKrSBE9Gwy3BBeIuwS3ElePppOxmxQjcWjgKwU0e9kQfLSaaLz8m4JobJ+ntDe024L57d310VO12CG4zZr+MLUdRZtRQGXMOra9vrK6uw+uFhZXZ2eXp6aWJiYWxsfm7d+eGhuSXRH//VF/fVG+vqL9/ZmBgdnR0oa9PehCrreWwaE1v7K8Njm0AXcIsUJs84FvhrkA39RCbDQ3yG4jfPWRIsVvGHTXvYXG+xGUrrBXTKmCtGhgQDQ6GASKoPTIig52OjYl4Ak1MbExObk5NbU5Pb87MbO4vpiO+v2W3QBCm3w7nSON0R+RMY51PY9XDBjB4bUCMp2a+tmtUqw6jpbLUs+q5GjU6PTVm1pRqo0YmxKo/IVY9agCzDat+5MiR48ePHzt27LXXXgPojz/+OJnz5H+I8pDhLd0T2S++f5iup8MmCmQrW8VSwmh4LhuuPRSWlo6Wl49VVY3X1EzU1U02NEwZTTc2zjQ2zjY2zqGmJumwsKVlsbV1qa1NxoLAqHZ0SGcpXV0b3d2bpo9Z6eiqvd1nOhBnh5XUfEJSE0LJQ/CtbXgmwTVOYiAu7psC+VRwW9NtYtxhHN/UTAryTHe4fAUZOB942TgJdlvjJGq3FdwrZrQ57LYZcI7pDbz24uLq/LwgeGpqEXCPjs7dvTs7ODgDtXt6Jru6Jjo6xlpbR5ubRxoahuvqhqqrB8lcUdFfXt5fUTFQVTVYXc38kZaW8aamSR6fHAHdf/fx48S+beTEevl1NemgvKlJ+olsb7/X1SWnA3aTJ8nujf7+0FzDaACtUkwrqa1AtqH2Bg8wpfbsrMSI3KgRh4UfIhyZ1dV73wemo2uBB3REzjTTc1r1qI/cPL0FqFXnz7xWPbum1LXqPAl2YNURi55++ml5/0g74H3jjTyZH6I8ZHhL90T2i6eZnon1+9H0hX1wEwWyIbbOXn3+ec4qTdMoJRENNzZcQuE6ZE9JCTZ8rLJyvLp6vLZ2oqFhsqlpqrV1ur19pqNjtqNjrqNDBrPv7Fzo7Fzs7FxCXV3LXV0rGmcwVi7subCvTzgIJoA7rtaMqSYDO3gnSNnEJ+COPLIQPNmy0G2R4kNcj4CXLNbJyVqmhDjerYtstERDJSbGvWZMKETbHB6WDtDJhs2EVtjtXHES7PbyMnZ7dW5O7Pbk5OL4+PzIyNzw8OzAwDReG3B3dkqjl5aW0aamu4C7thZwD0DtsrK+O3d6iou7b93qun694+rV9u++a7t4scXsYCJdu9ZdXEx+GVzpxo1R5vAd9RFlDpcePeV7/KAiW2ThJZZSWyvj/WPDecTyHTlTnCPyKLvhNYBWTw2aVQBaBaZVCmuLbI/aa2v8BBHpg42kv0v4E+07piO+v2W6QBCm38lgOiKnZbrSPNuqP+5Z9R/GVj0aBYmlMN1r1Kg1pWrVhemZjRqdmtLQqifaqm/DqiOWcoHgH7i+gk8/zZ/5YcnlBfKW7onsFy+Q6ciluWq7TJeD7yRKiAiesOFff+1WadpYSrYNv3NHbHhFRWjD6+snGxunWlqm29pmOjtnu7vnenvnBwYWjBYHBpYGBpYHB5EMqjk4KEP5aKuMoSEhoGGERHu7unRAeukfHIjX1kq/svhuRbZ3gmA3X8fBdwbEI44LxPXru8kYc1nkSPLrUqU5Yh9qayXqzQNGF3mhEhy3CZWAKhkRdGVFwES2zU212+tLS2K3Z2eX1W6bOMns0BB2e7q3d6q7G7s93tY2ht1ubLxbXz9cUzNYVTWA1y4t7QXcFHXzZue1ax1XrgDu1gsXMsDtpuichiN4hHOD4MIFzmY/E9euCdy1zjbiu9QBKOIRefQZZo18VZUEkfgt0t7Ot743NrY5MrLJJzn1RwZQVi5bKaCV0SpltPJak6W25tQVtSgdYVUHWUX7kemI759g+m6s+oFEVB1b/YoZBSmy6olRkIxVF6bHVj1RUxpbdWW6W1Oa36qzKP5G+bF+86ZYde2A9+jR/JkfilxeIG/pnsh+6z1lOoqBzia8xCqUYzieGUtJ23AgHjZKsdFwa8M1kALBm5unseEdHTNdXbM9PXP9/fODgwt37y6Oji6Njy+Pj68YrY6Py5jI+kN7YkKG8hkbuzc8jB/f5Ke6mnEg3ty8CjRBZ3W1FzwJBWi8E6TA5Qs6EBeOK5fhlH59mwzBXYgL8SN5Jci6uqiiYo7dYyex4ePj4kxJbqiEpI7bBrgB9/i4tD7Ebg8Ozqjd7uqaaG+XOElTUxwnqawUu11S0nv7ttjtGzc6sduXL7dduiRDcORJX3xRl0ss9ZiuvZidOdOu65IuXeoD7pcvD165MnT16vD16yMu4vUXDN9dn2pq5DkjlZWLVVVLzc0rPM94eplnmDDdwLnQpARXcLvUXlwMR8fW0Vbn5kSzs+Gwq2i/Mz1k9w6suulX3Ymqhw1g1KqDY+x2plVPNGrcXk3p3ll12wHvvhzWzkOGt3RPZL/1dpiexnoC6HJgncQqpjTZCk48NeyD2zQlrtXEiV+9OnD9+hAE5xe6Gw2vrRUbroEUS/C+PiH48PDiyIgQfHJyeWZmZW5udW5ubX5+fX5+I/q5LXfj5KQYOsNxaSUNxzHjLS2rjY0rdXVSvVkpg2Qqx0UOykPbiICLd4IUwXxlJXgOiFuCW5E55rjBVohyZDKwVtispbR0urFxqa9vY3RUELO0JBFk0szMkgF3GCcZHAzjJApujZOQrbZW7HZFRWi3i4u7b96UOImx29lxEptcTG9LZt34dLtM56QjLV8Tzt3UacP3AfiOf1e+s8hpeakuHrjPlZfP19cv9vSAdX5/hJgmcziVlawNV44rwS24LbKnp8ORV3XIbB3GTwfOxgSgfcp0xPePwb1Lq/7sXx4zr5VCXuYbq+507GVeQUpbddYyWM/o/sUNvxirHnb/cvAX1qpn9ADDImX61lgvKhKs374tvXrtv2HtXF4gb+leyX7rNNa3ZDrrptPp07V8fvWVNihEGgoPo+EaTlGIX7jQeelS9+XLvVev9utwa8XFo3fujJeVTZaXT5WXT0QQD224DaS4BB8bW4Lg09MY0tWFhTUwt7KygWPVO5bbFZTPzGwajkt7BsNxqUPzOG4qM2OUOxxP9B6uZlzlnSC1k25KO/GkGfcVZVNNKc3N257hW0JVVTONjXNtbfMciq6uye7u8A1+Y7clSKLRbcdu9xQVdWmchGy7sds7lhbrMf3bbxNMP3u2Q2X2QtL589qJfOjfmXP1aox4+M5hUbhXV8/xnONs8quF3ytQm8yKb00exNWMW44rxC24LbJ5aqKRkXAs1uHhcFQ/HUobfT+YLuzeplXXCWvV8dpi1U0PMJD9cKZVP+BY9UJqSlPdv2j45dAv/1CtOqtT2g6tenW1WPUrV/bhsHYuL5C3dK9kv7XHdDk4WyWna5RG/jx7tuXcudYLF+QuvXSp87vvutDly1C758oVJKNlXr3ad/36wK1bQ7dv3y0pSYxY39Cw0NAw39Aw29Aw3dAwZZy4QFwDKUNDEkjJRXANg3Lfrq5KNZfhuLRhMByXNmo2OG44vpqD4zHKS5PjZDooD000dPZOEAmC8xlBOQ/BbSHC7gj9ONCElOY3b45eN0MakW7c6C8pGbx9u7+4uKekpOv27U6dn79O0k0ubR+Y2O7p0w1ffqlPd5/pinKLdZXZ2TBduNDN58WLvYr4K1cGr14dNiH4MZw7xxC3XlMjA2T390tgjcyZENdYisdxhbgFt1LbglsH1EY6NKsd3g/tX6YjDkEM7sKsusd016qD41cf/WHCqufo2CtPTemWY9rFVj3qrJGHyk6senGxVJby+e23+XM+eHnI8JZuV3y7baXTp+s1QqLCZBmf1cSiM2dazp5tPXeuDXxfvNhh8C133bVrvUDn5s0BpouLMd0yUP3t2yN37khjcCV4VdVUbe1sff18U1M4UH1Hx1pHx0pHx1JHx2JHx3xHx2xX16xWaUYQX5mZWZ2fdwkuEDcE53aV5gpAfHZ2c2pqg1t6bGz97l04vtbbu2Y4vmo5XlW1E45biIMPOTRR8k4QS8nGfKV5Wgr0khKNC0uZRabTFcPucVVRkdXYjRt3r14duHSp9/z5Dn7lUPKZM43nzzd+80292X528ni6H8ReKdO/+splerZVT8t8rTjZ+IwGZ27eHOO5WFo6V1290NYmFeBTU/L+kQtxG1RJc1whruyOwC0yg0PJ4NodMjqrDjAiPRnoAK3yLoKH0X0lvn+C3duy6of+gzJUrTpsBcqAOLTqXsdeOmCpeQWJpWrVmQ6xnrumNFejRqw6iyg2tOoyWulOo+qXL++3Ye08ZHhL80i+VCrhqRXTHqlZxG0WxUNU7efOSYtv09pEGpyYNicS7DahEmn2cO2a2G0TMBkqKgLfEq4tLRVq6+jG/Gnf3IHgjY2LpqUdkN3gzuH+wQQNDm4ODm6YZicrphXKImZcA+I48bm51cVFgfjGRjbBp6clojI+vjk6KmZ8cHAdm9bTwybk7Uc219i4Ulsbctw0icvguEF5zPHkK/iA2A+nGAqHzto7QRG7ZRU+PTlAD5kOiYC46eN71OrWrVFQfu3a0Hff9XHAORc8R7/4ovbUqUSk68MPSz6W168q+V31+ec1zPEwuq/E7pmrTphualC2x3RP8v0lONOFc//uuwE8+40bo5yXO3fkZTGcwfCwNAcC4oVwXCGu+G5vv9fWds+wW1q7A+6mcHyocHi/urql2tpFMz7U/hgTI484BDG4t2XVI6bjkdWqg2xwDILtK0KwGKONoQ4jME7HXgmrnhl+yd39i1p1Cifbjq06i6TpC1a9qAi25cn54OUhw1vqSb5IlLiLFNzGXIddfgNuY5HUJYk0qE1+A+uwlbfptUraehsNXrumGtLqSn2BnlVKSsbLyibKyycrKqbMoMZSN1hfvwC7m5uX4Sl/trWtdXZucM8Ace4f7iLuJe4o7ivuLu4x0+wEZ83v5RVTqxma8bU1KC4xUA2ILyz4BL97V94i0ch4d/d6Z2doxk2LQ7n3HI67KE9DPHTiFuLsdmZK1W0Kvr0TZJeS304jWGMkNGfCBFvUmGtc5a6Ko83x/+673osXu3macqY4ffD6k0/K7fu0J07ceO+9WydPFsP0j6RfBGkG+r1j+jff7IrpKjkcJixz6VIfhv369RGejiUlUxiI7m65/JTjo6NccptDQ1If3tcn7/rz0y16zyBsoso1w+PfgFuoHYF7oaZmvrp6vqpqrqpqtrJytqJiprx8uqxsCpWWTn6fmC7shum300z/D0hy5rbqJ41VB8qYaxw6M4GvtepvPJF4BYmlxqpvUVOKVX8tq1GjMp1nBsQnv1p19kGtOrvH0oKs+rVrYtXLy4NLl/bVsHYeMrylKvZWE3dOkuMCcaU2N4C27zbqQk4zwT7W1TaC2EM79KUZdkeF/Zk0AxlLx1Vc2dXV0lyvrm6xvn6psXHZvOqy2tYmQUzMDpZHIc6fOHGFOPcVEJ+YELs0PS3Wid/C/CI2zcU2FhfXMOPr61K7hRlfWZH5ZCCnNlAZGeGeFIL39fGE0OaGMlByc7N4qPr61ZoazLh0vhrFVUKOpyCeIDh7mE7GTctS8ugcoBzN10U6IXLPDjIEl4pNs5ZM2DkmPj5RVIQrx4aPXLs2zDG/cmUAwfFLl3o5I5wjzhco//rrRn5UffZZFU7c9lP2zjtX+Tx+/Pq7795i5gcfxEz/7LNdMd0Uny95+XcgCokuTst0v+mLy+vCxYpcz2D98mWchzSC5Gdic/NcZ6e8jcVne/tCa+tCc/N8Q8N8Xd1cTY0AGjqbPpC1Dx/mzDFdWclMS+1JqF1SMoF3uXNn3PQCNIqbwdPcusVtMnzz5vB+ZzriEFh8Z1l1AXp+podW/bl/C7LBMQiO2h3GHXslrbpgvfCa0nSjxj2z6iUlYtVv3Qq+/jpPzgcsDxnuItlnk7hh7N2iZtwa8HPnhODaNBD3pzZcZdp6294H9UW+CR12R8fc0eEaVGYIY3nLXPsa1J6q+JUKwbu6QojzGxYnznw148PDMq1mXDnOr2AwvRC9ArO2JjbcNeMgHtaTWX8gG2O12du72d29gdnnmdHSIr+FGxrWamvXqqu1hyZ9cRyUx9EVG1exwXHlOPvjJcvuCPRh/1aI1cnAhGbgkz+j0IpKDLg9NaqI48J0J0ouZhyOGyc+xJHnRFy82IPB1IcrZ0otOefxiy9qQfmpUxXu67XQXMW0YfpNw/Q7e8J0Vvzy1f+fiunTv/uPX7wi9wt3kN6e3JJ8uskroRCxVpLp4VW6e6Yj1jXXuby+dOXKIL8m79wZraiQFkGVlfyUHC8thcvSN7L2kBx1sTlRWiqfIJulUFuRrdQG2TdvDt24wT2C3Rm4do37hR+v/CDovXyZW4ltdX/PmI6SVj0E+pZY96266SpArLrfsVf4ChJL89WUGqvu1ZQaq55o1Mj0bq36jRuhVb94MXj33fyZH5g8ZPyD9rlscFzbU2tE5do1OC5BFWPG4XgnGAJnyrWvv24Cdp9/XnPqVCWu/MMP75w8GRvztJjvML3UdGe2c6azlgW6Mv1LYfp/5H7h3vngxX/HHG5Vbk9uanNbhVaJ5BWVX5pff0RapudqzrgDsToORts+Xr7MU7M/+gHKL6Gw7zbTfZsOQTWsRhtk37jBTBaRgWw8ElgdaoNsisIM8ajgudt54YJULJ07x67ilngasfMt3wOmI45CgumhVU8AXUGpQEeZVh3rffyZvwDfxqoLdrHV+OuEVXdeQdpmTWmiUeOLoVX/oVh10/4906oz4RHTFUvDYe1u3gy++ip/5gcmDxn/oH0uE1EZMpL21HBcLTkuMoqrAPFmteRffikox2V//HE5rtztC97juCuWGqYXKdNZl4cBlwrzXYYWIlZxga5iplp1CIAxUtelVon7Wm4rY5X0hiJ5ZeaS5jx9+n4xHVGCeWet++LFXv0ZxJwoxthtnLVYbNdoMx9kX7wo9f+K7HPnQDZ7BbXZwxbzw1eqo9htHkicMsqMk0fP/Sn20zI9xLpY9QTQVZIzYnqGVX9eGA2Usc/Al5nAF6ue7Ngrh1WPwi9Y9WPa/UuyphSsS6PGZE3pHlh17SoAsl+4wF2VP/ODkYeMf9A+l9pD5TjXD4iBVsALNCgU4JrhuLwBgMUG5bhyGE1mkofvTJHNVJMWnTx5+0MZEXuHTCe/R3MV8w3TQ6uOPWcOidtTrNLBf69WnUVkIBuLvJJziZzbbaK+XVECj099gupzwgQhZfwTMwSKb7S//RZkNyuyv/pKmoGxyjaSR899K3Y1Yvp/CK36VYP1iOYqyRZNp606v9qw3qAZHOOgFbtbWfVUTWnKqrs1pQmr/vN/RQk8MN54Qqz6e1j1F3dk1SsqRNevc/Xlz/xg5CHjH7TPZeo5Q45z/Xz1VVPE8VrOpnkFt8L0gVMKkd1hrz1w5xGZHaaXKNN5SDDfBeiWIr9HcysWCdYN07mJuB9lo8/+JUbtw4MJq46dJ2eBm5Zi5deJVOA7TN9jq66lUaz+HmIOyLZGmz93ljjI5vSFb1Bz2NH3jumhMQ+tukNzK8lpJsSqG3RarKtVP3Hg32C0C7TqBdWURlbdNmp0a0r58+hjf4K7p4QdWvWiIgm/lJRIr177oANeDxn/oH0uUKUcNyFy6SDh1Cn8OAgow1N/8MGd998v3hnKrVgras6oTNdq0u01UTcb34rppqaUW5tbSfNzh6pVEqvOjW9uqMKtOtks0wHufWL6zpLtAEORbfsvMg9geQbb3qFtR//SutRD534WXzLBdLXqDs1Vki2azrDqqQ54X/zFvy7QqidqSkOsb1FTqlad+eQUq85PxZ1ZdX3/6MqV/dCrFzvAzQAjrLXhBoiChmF1kGmZK21XiorGzYj1MtZaXd1Mc/Nca+t8e/tCV9dST490LTs8vDI6ujIxsTo5uTY9vT4zsx4NgCDtWEyf0dIEZc10SaqNUrSvDOawyLQTl7YrM9KEL4ha/kqr874+eXtoeFjK0Xd/BgakaWNPz1p395o2Hm9t1ebA8vpGXZ00H/ZScgCEsJvsqLPseOwxMyqCHeEslBl7XsYwM+PgyLj7DeFg/JvNzfLuX2urvAfY3i7vlbjNdZy3n+RL8XUmJuRl1JGRzY6OlcbGhcrKmeLiCY7wlSsSItdArf11zxnhvGADQRXAMq1WJESuVo78evNjq22AheRhelti9ePHr6ebqG+rmpScHsc9keF0FH7BG+GxmMO9efJ5U1O6I6suZSaavsD0PWv6oqKEdOLgoCSybU+iIbIttV1kq3gMGxVxEjns6N130U05oR4397M4EJbpnLkdW3We8AAaIr8WjUCtVh3y5rLqTMRWPXdN6atRTWlk1cOaUteq80PBWnUWKdO3xrq+f7QPugpg6yTuAY0/mshgBzSBKdGL0WGDXEPzSdMMUTpira+fb2tb6OlZ7OtbHhhYGR5eHR1dnZhYm5mRHgoXFze0y/+1tc319XAUGzbEhPaPwSIyLC1Jt6Xz8zKAwMzMJqQDc7APCAJE8re13TOD399raLgHOltbNzo6hOPt7TK0I/hm2jQez8A3aVvUdpFtqC3D3Kjq63XoMsF3S8u91lZ5D9Cy2wV3f7+wW9tZ6ntP2mrevPokbSjZK55Y2tSSQ1dfP1tZOVVSMnbz5l2enRxzDj55OBGG42FVJ7TSEDnIUGcHGpQF5ovGyaPzzkQ5u2+iTk4P4p7IYK06tw83JnNI70sHqJFVskwvzKqT5wEwHe9P4Txi2SKHhTmG2p7XLojaJ06gG4gDbnTtnXeQnIW330ZXvk9MRxyLBNO3surCdPOnZXrCqv/2T49s16o7NaX5BspIdv/ChLHqf6ZW3b3+WFoQ00lq1b/7Ljh5Mn/m+ye2y0XJDcAEV7/ac9tTHYgxrctlGIFbt8aNNwdAMvxxQ4OMuNbbu3L3LiiX/oymp8WMw+jVVXnDXpuEK75x5WrA2Yqy27yrKR2Lj43JYDEjI9KRoXnfRwZs7OlZNyOEiR/Xsd4NbcGuUJiZmakwasfI9qityLZ22060t2OlN63pdsHtvrDqgntqKnzjSRvLz8/LL4/FRTkCyzJmUWB+lHC4VtvaZsrKxoqK7l67FtKcU/CN6XGFk8KpcUPkJrQipAANhgh7Y8kzRZnJJuql7MB2mzOS04O4J8kgTA+t+ocv/q/M4U4Uqx42avz3n8ZW/T8WYtVNBpfp+rtzj5lOsRbonBfm8INGqW2QLdS2RluRnaa2QbZQ+6230GV07Nh3qjffvGR08Y03Ln4/mW7ZXZhVZ1qZrljXrgLUqkNhaM7Mraz61jWlOHEbfrE1pTb8AuXhvmPVJfxXuFVnUVBa+nAbNbJRLkp16Ewr0LWRFvY8AvoINC8qmrh9G6DHA9+0t6/29a3BYjNEGXZbgOXK7dUIuoE5PDhbwYabV6jldU0d4se8cy9vbLa3rxvrLcNaNjbmZDeptnZVB2VH/FkIte1IwZbUnZ3S9R3+GgFrkG3YzUw/WmJNt+e4+VK5wK3xJS+4xDR7u7i4Nj29Mja22N8/W18/duPGwHffQfNOuAODTp8WlJMNWOiPd3iqds8LrZBcCu+5KN8wfefNGcnpQTwt8lirzh2ktyf3FHe016ixQKuuGQzT72NzRh4YbIWfTRwWTo3ss1BbkX3dINtS+0qa2i6yjS68/jo6j44ePYdeew2dRa++euZ7xnTE4VBYI2F6RRBc2cqqJ8MvatW5GrDbsBj+MjOPVWfptmpKxaqnakpf9q26uf62ZdUfaqNGNhdd+hpykWvdAbr0MqpdWxQXS6dFZWVzVVWL9fWrTU3wd6OvbxNzCt20O38FnCdmajR8eDgcyJFN9PQAzQ1KwIm3tspQ642N4XgLXlJLDrUbGgTxgL65Wd4vZSZrtbTIGO1MW2SbsYDFX2tQG0CD7O5ueUeUvXXjIdrTKXO0cyX13Zns1u/ldjPggTtdK+D8OpHQk8aXjGRFdnhsbL6nZ6a9faqubvTOnYELF/DmSvN6GyUnmw2t4Pj40yYXu/dVbOvEiZDpO2vOSE6P4GmRxzA9ev8o2ahRrRK3OYsM1gtlep4m6gpll9HbEutSLJuwQOcoMTNCdia1L1hqHz1qqS3Ifu21M1D71Ve//d3v0DevvIK+PnIEfXX48JdGp7/fTEeC9eIMpiObM49VB7K2A17Hqme8VhqHX6xVT3b/smVNKaCPrbp5/8hcf9ux6hUVYtWvX+cyzJNzz8W2ous+EUNnfgR0cegA3fRCN1NWNl9ZuVhXB9ABsUSQcbIwEfzBPuDOBEC0stA0gyYLWyEsnKV8SuDTS/X16w0NAnfYzSfTDQ2SjcxtbUJ/Mw69fDY3CxZx2cCaMpmmfLbCA8NUn/IjICSyjYHYpwszWaRMV3az58xU351md37HnQb34mJcNzA7KyEmFT9ljGQT7HB//0xDw1h5+d2bN/vPnesAEDxZ9Q1PGyXHkpPTJo+2D0ZsF+/JnrA/O2Y6yYN4WuRRq85Pdm6iE3mtOou8raQlBd6fJuqsSGmcL46DBbqEvIPAMdoJahtkn1FkG2p/baj9laX2oUOn0csvf/Hyy5+jl176DB08+Cl68cVT6PvHdMQRUVijHVt17SoAasPZw4VZdfLHVr2AmtK4oXrUEJ7nB/l5JFCae/2xdEumI6kjxao/2EaNsm8yTH69Ap3LnYsVoF+Ujiz0Reewt2gTcpkuLZ2rqFiqqVmBvFpDiDo6JF6h9tawO4xggHur9nZyCna91Ni4geB1c/NGSwsPCQG3CovNKpSv7G5rk5AIRhtk90Z9LjIfIjMBjpm2FFb7rHZYYz6zswmmK7uZVnaz1PruXOwuBNzT0xtTUzIsxsTExvi41BAYbY6OxuLhoTJfaqq6euDKlV6AzingXMDKjz8uM4HyPWu4snuxAw7TpTkj+7ndJupk9gieFnlcq37SbdQYWyWpddMbyttEWuQx1aR73ESdtQzQtQ/LCs4XJwtvDs1ZlDbaEbUF2YcOgWyh9ksvCbUPHlRqC7JffPGTF15AHz//PProuefQhwcOfICeffYk+t4zXYC4lVUXpptpw3TxxZ+8HPbqBaAhMs76JdOrV6FWPVlTmnegjDD88kJk1UE/ZWIuHKseMz0/1lkU1pQ+wEaNbIXr3oTRmxXo585pKxepFGWpGbhLKkVv354qKZktL1+orFyqrl5VphsJc0G2VhuaSLT8iYUHxyyV7xUlp7mIW+UYBkZUlKBFWXBDbdbFViuLwTdoVnAzXxmt0w55Bc0e05XdTNuYibKb/Jm+m6WmkLDz9Dzg1qrdu3elR/WhoXXTP3uogQEkXYPxKFJphIe9bW9frqnhwPZeuNAGcT77rAa7Bx1cY+6x9WGJPTFMv6VMt01f9rCJuhV53EaN6rq4N8NGZY5VZ763ibSkNKeJ+l71uEs5xqFboN/CoQN0UM7SvF47k9oKbqH2s8++/8wz6L2nn0bvPvXUCfTkk8fRE0+8871kOuKgKLXRNq16GO7g3IdW3YyVAX+Z+eLP/1Veq751TWnmO6U2/GKsuhmBesdW3W3U+Mor+TPvXpTPRe9EXRL1ojqeC3ls1KWkZM4yva5OQiIA2kjYjY9GcJxV3KTQZ75t84dth9pa9wi1sfZoKNlBLtRW0638pRzwCpF1PjNhMYn5mg0QM53JdD6ZVnazNM1uFkX4lpLNMyDsPH1qSvtPT4DbUFuaw/f3r/f1yQB1PT2i7m6rja6uUJ2dSJ5bPL1MzYHU/ba2SrPL+vq5kpKRK1e6vvlG4i0ffVT6vtPJ7b4Su3Q8aqK+mx53yewRPC3y2JpSbuf3I6uOS4vf/zD3lFd4psi2h80ZZT9MDJ0ybQwdh/7221ffeAOgfwvNyZAC94ee3U5S2wX3O4D7iSfefvxx9NZvf3sMPfbYm+jRR9949NHXfx+YLkAsxKonmW6GtZOuAjDdUQe82u5we1Y9I/wiVv2HyXdK/3Vs1WUEarHqYiuyrDoTHlhdsVSGKi0vfwCNGmWXTNTFhBrlFTsuWRN18etFyXlbxliY1f5gKyqWqqpWa2vX6+v1RRupkGxoiFGuEPc47r13o1WRoBwPnoa4Omi1z5oolpnQFjEBi3Um2fiTnPqnZTqfar1zsRvWR/iW7Sq+JyZk+AsTKlHTHQ6CYdkNr7u6ZDSMjg4ZZRQ6G0kNraqlRWTqb2Ug6cbG5YaGpfr6xbq6hdra+Zqauerq2erqmaoq6R69pGT0xo3+8+fbOB1Q8v33xZ57MN0nYsdgetREfVc97pLfg3haUqbTqBGTxBy9p2yjxgK3S7bdM508mgzNeQBLiMycsmJ+vpiQy3kFOjQnW8prC7Wt10YRsl1qg2yh9m9+g44+8shrv/41evVXv/od+uUvX/nlL4/8/d8f+b4yHXFcYnCrVb+cgXWbLduqR716wWL4y8wCrXpmTWkh75Qeiq36X5p3JeKfiiwtCOvaU+OtW/e7USOFc8XrtW5bo9uoi5p0bYpOztu3ZeSzsrL58vLFioplZXpdXaKG0yBeW3Z7IfL4XUoFujYNHBwUVz45mQ/lNlE+LGYpXHZBr+Am8cmf+dmt4ZdpGfVCniKKb21PaVrjhE0qzSAYFt9hq0odDUMbVjY0hKqvl+FGa2uXdFyxqioZnsYdm8YZ4kDHNxgpKtLBDYbY28uXe86d4yd8HXZPHbpH0v0j9s0w3W2iXr7jHndZxYO4JzJYq44r58aUHeCeimpKC9+oyalM33ZzRhZpMm/thr0v8CSLQmS3OCbHjn139Oi5I0e+fvnlzzHmoJz8jtEWaj/2mFDbIPsNg+zXH3nEozbIVmof/sUv0KGf/xy9jH72s5fQ3/3dQaMXf0+YLkDcvlXnxJtevf4NlwIu2/bqlWHVZRDq0KrzGWI9d01pxPRkTenP/9ULPxOsw3roj8enHK3VkZ+K27LqD6RRIyVzxUcm3a0alZdFrUkvKprQYelLS+fUpJvX6CV0QNIXf5C+B1RXJ7INV8A6TNf3412Tjj2/e1eC4OBVfXculNvEtpTdxnRvrq5urKzIE0XBPTe3Nju7xp8eu7VG1OBbnh9Rc3hpFWMC3Bu9vTKGkYZKokbxarRlTMiGBkX2cnX1kqqqarGykoPAs42jwUNuprR0uqRk6s6dcEShW7dGb94cuXHj7vXrw9euSf+3OqiQdrWq/axqJ6vsLaRwa9iY45F0X4ndM0zfeRN1V6ylyaO5SuYL06NGjWGn6tJQGKvOtFdaHmnmbTGdOZpYhXW1zoAvy2NM3w94770iaP7221feeOPCq6+eOXz4y4MHP33uuQ/x40CczMZoK7VfVWobZL+C0XaoHSLb8vpv/xa9gP7mb9Dz6K//+jmjA//5P6ue/R4zHXFoYnBvZdWF6TmsOoCGy/hr+MvM0Kp7QyClrboTfgnfKRWmp2pKnd53NfzCVnQEarUV+lMRq84iZXp+rLPoATRqlJ0Jm7s0mki6Mj0RSVeTXlQ0qYEXVsGky+6ZVFWFW5c+Usy7mqII7mv6BhBMNz5dm4eHTMeeDw2F9hzyYqIzUQ6+AffamoB7eXl9aUkazGC3TZxkfWpqZWJiZXw8HP5xdHRtaGgJ8afWoBp8h00qFd99fdIyvadnUwcwil5okpEhGxuX6+vDoSAx2hUVc+XlwFoFsoXaFty3b/OEQzK+vofva9d4EMpgCJcvS8+3ly71XrrUc/Fi94ULXefPd5quWuCIdtUS9t7HKeDTTR5G95XYvV02UU/LfOkwpbEeNWr83/mxq5aLG1PD6145+SVFhc0ZM5iuEHdpzi9Xbg1T/6ljhpQy8+RJeSmUp9rx49feeuvKm29efO21s6+8ovb8k2efPfnkk8ex4eQ01D6k1HZcdojsJKyfs7D+6U9Vz/zkJ+hp9OMfP6X6T//pSaMnfvSjJ35/mC7sButFOZmOXKYrQ8Wqm64Cjocd8P6xZ9Ux3ZlWXZieFX4hcyr84teUMsF8crJuwqqbXd2S6Shu1Hj27H1q1EiZX3wRN2GE6ena0Rs3wJaYdBN4CYdh0yE3cetGy6YPrBDuhu8rNTXyVmeDvBkkTI8atyTs+dSU1EAuLm6CbBy3ofb6wsLa/Pza3NzqzMzq9PTK5CTgXp6YWB0fXx8fF6ZD6uHhtYGBpb6+hZ6ehd7eZWbitbu6ltra5jo7henRy6gyin9Hx2pb20pr63Jz81Jj42J9/UJdnUS0zdC9EhspLZ2C1Ldvx6Q2sBZeK7JVucENtdPghhHCbh3cACfOEZYDlyNh0rVq9MSJG/zpYXRfid1LNmcUpm+3OWMuybFIpUSjxuj9I5K37pZiFRNSh+mZzRljY46dt7FyHl3anFRPzdtvX33rrctvvnnp9dfP482h+aFDX7z44ins+dNPv/vEE2/jzSXeHQQG2ULt3LBO8zqmdqTH0V/9leq3Vt9vpiMOkPIaFWTVoybqMF2x/mHUqxfG2fTqVUBUvbCG6jb8YmtKX8Sqm/CLWHV/rIzwp4MyPT/WWRQ2arx69T41aqRMrvUomB63eIk66kowXfbHJDN4Zjh+pg6/WV6OYsqbJjHLNTXSCWJDw2pj42pzs4ShW1qkl8Tu7tW+vtXBwZWREXHZk5Mge3l8fHl0dGlkZHF4eHFoaGFwcKG/f76vb763dxFq9/aumlYlwvTOzrW2tqXm5rnGxpnGxtnmZmF6U9Nybe1cZaUM3M6fDQ1zdXWztbUz1dXTzKyomCwrC0fsLS6OnbUyWmVIrbBWgWyhtgPunjS4DRFccDeCDDlGWQlMZIpFOEHwoW0n+NPD6L4Su5dkehk7v1dM90SZ6eTlKVysq0zXq91rzmgLjwLlJaCcb8pXNu+CfvfGGxdtq/MjR746dOj0Sy99hjc3NH/viSfeeeyxNx555LVf/vIITpxsHrU9cDvUFnBH1E6AO49+r5gu7Abrt3IyHVmrbplurfo7z0gHvEe2ZdXTDdVhet4uvdSqU/gr2gGviQB6DbC2ZDqSRo1gXRs1/u53+TNvV7IPyRYvSabbClJp8UIC60r24uLp22aY42gMex0rOR4uuaxsrqJiXjv2qqlZrK0NVVe30Ni40NKy0NEx390Nsud6e+d6eua6u+e6umY7Ombb22daW2daWqabm6ebmmabmuabmhbhtWk6IuERtl5Ts1BZySYw1xN8lpfLLpWVTeKpTa+/I2YPpRLy5k1gLZiOYtkiHQzImmuDaSG1gbXwWpFt1LEDcJM+/7wmko/vTLGKWsKTJ6WBM3+6DN1vYvcM03fVRP2hiN2zTDfhF86pNH1hvu45n/priSfrO+9cO3bs8htvXDh69Nyrr36LHzevd0oUFFf+/PMfHTjwwTPPvP/UUycef/ztRx9949e/fvUXvzj8s5+9BNAl3h0EhdjtHev3kenlQXApJ9azrXpWr175rboy3WDdC7/8mVp1N/ySWVPKAwP0q1U/+fy/henbfv/ovjVqlH1wmG4bvXjxdLLdlMGLx1X8eUsGpJeR6YuKIOlkcbEr4f6dOwB3uqxsurx8RsW0+XO6unqqrm6qsRFNNjRM1tdP1tVN1tZO1NRMVFWNV1aOV1SgSXKaFWUt024kbDrC1ouKRq2/1uE3oTbzja2WcfGZNlxWYajFUxs6a0hEGS0yv74V1iqQLdSOwJ1vbJrPPqtBDr7T8tmdS5R26lTciII/PYzuK7F72pxxl03UH7zYPXO1h80Z+VPTF1/IUJ9KcyZMnadGyb9RM24h/uyz7z/9tIwCD8e16aEx5q/8/OeHDMoP/OQnz+DByeDy937oe890xGFKsBus38jJdJRh1Q+GXQVAZ3AMgpkJeXNZdZYmakol/JLVUP1RsO41VI9rSpmmZKw9T4Udvn903xo1yg5ETNdfo8l2L306FANYt7p+XVwwn9evy/j0meIBcOvWmEaltRbRqrh4tKRktLSUz5E7d0Zu3x4pLr5rWvXhqTUSEsJaIyEaBlFYmxhIP1s3vyFs9WM4HD7z1WXrtMJaSW0wrf46tNjc1YgvjvRWz5UU3LmUgrgrH9x5xIb09z62V98d9TC6r8TupZozbrvH3Qcv9s1LzPz002p2Xis/+fHx1luXmcCVHz6scZWPjRl/78knTzzxhEAcP/7II0ex5GTTKtCI5s+C8hi494HplJlIHh+/j+JbKKxVwvTSDKYjzRlZdaF5wqqbrgLyWvU/TVv1xOBHT4Y1pVs2VH/+Z/+SEiiZYlmRojLfP9raqldViVXf60aNsgMh020DL2vV5Z0jMly+PBAJtoqYiX93ZcyyK4gscmeanGEJFOUUi7PuV126JJhmuzxRLlwIx/RBxmh3qstm68Z023pIMd3gm/kRxLWfcQH36dMCblxY5i1tk4vpwpWCuCcf3HnEPli47P9qUvbNY7qpJt0XTGcHciXt0JynJvt8UsajkJEoNMaiKD969Nwrr3zNBK78wIGTpsLzncceO/ab37wOxDHjtgXL3/3dwb/92xfIGdV5Pv2jHz3hwtdOb0usmCf5mT0+fk/FF0uwuwLHmIF1zZYZfpFGjZFVB8faq1e2VTevlbJUmB5a9ex+AlglYrrfpZeGX/iTDKxCgTxRpKbUWHUWFcr0imj46T1t1Cg78Hktd0LSqrcCSoP1bjIY84s06IwE9GqQjaBwfkk2g2krKccgW6itUnbbOIni28BaeM2Txtpttp7pu5mf33R7392RD+sClYK4K5/a+aW7B9O/R01fDNP3sjljgWITedJHpg9LQ21tcXiLg8kTCHCb/sqF3W++eSnqnfy8BlgOH/7y5ZflznruuQ9x5UzYoIpy3ED8RW0tru1YQPmPfvQ4OV3OqjJnqliUJ3mZ8+v3lOlY9TsZTEeaMx1+ibsKiHv1kprSsLNGr636M0mr7jRUPxY3VDfhF7HqP6Q0r6F6bNVNo0bWpajM94+2wLrbqPHNN/Pk3JZk6xHTbTekX38t8Qp1viboDFtFxhQLbZmvxjlLeGorb5EabSu12KqQ3ZHRVnwnkG32cAu7rQnDq20wdML7ylnyYV2IUhB35SO7ELHDUTWpjKVA8jC6XWkhO05eaZ7IcOLEzajpy94z3exCdtJ24uq1ef5p9UNE7bCBiqH2haNHBdnapa3pFlE6RCSzdqelnSBqq5Vnnnn/ySePP/64vCWEJdeWiHDcNiE3EH9W2yBq8xVT4WnYGiV3OlfSVQpXuFpm8uD4/RXfJQZ3lWnUmHtYu8zwi75/BFvflveP/gRbzcwXfo5V/8N8Vt0Lv4RWfeuG6mrVD/3SNGp88s8pZIfvH2mjxj3tqVG2bhjEXWSsukSZjWEXz85SQ9VQkTsWp6zkNVITrTWNGVKL7cqWY2TLt+zWaEm+uzoT1sznUxehXNmy5PN6SyUJ7smHdR6Zb5ORsJbKzd0k0IaYiMZh2FIXdawGpnVFL6WYvqsm6qbInMnabUPtsG24AbeMEHTsmDQPNy0LpVNy8pt2Kd8otU1XiErtUyD7+ec/htraZ5Z6cKeTrLd/+9u3Hn1UQit///fSZIWl+jZQ1HAlbHdoIP5EuskKebzkZShE4ZpZKVdOmfbI+P0V3yfBbqx6YV0FWKbjkaOuAhLvH/GJv97KqhcUfolqSuMuvZhgkTZqFKue1ahxC6zbnhq/+YZLOE/OwmUKEQxxj6kRNjy1E3LjKX3srch8ZmoGw199DFiFaE5LYW2lhedJEUD9fUYsVV571Hbn22m7NK9iXheiFMddJaitku+TlT41I8p/YsaS508Qpj2HGGyFQ1AeO3aJRcpcEzFIjI+jgmtWONNIMuoC6/Jp9G1apndvKxmcgQnmsy4lUJopn80J6GWPnWSYHjZnNE3UKzja+mXt1aI5M1PabgPulN2WL+vYbe2FXBqGv/zyF4ba0mktpUWNUqSbQ9NVllDb9LWivaxI5yq2btO8nS+v5mtwPGqvIgYccJu9CzQ+rtMkd9pNzC9EYe4cycuclG3+KE0hTZtI2UOeMb8/TEd8pRjcatW3fv8ow6rDaH3/CP4yM7Tqv/as+l/grFkaMT3RT0Bmj+phTanTUF3DL4CeYlmRcth6NP7Wdqy6Nmq8dGkPGzXK1gXZIbUthnTRfU0eKHMrY5+V1568+fqnt24OeVvcQimOi+Qr5UgG3MJu/Cwsw4R+JAPJ40NtfZ2OXSk9tcIy60CVzizSAIKSVwdYUAE4KyxqJB1vQYZcYN1o4IW0pFNvlRmTQbwt0+RnXcrRYtlKxHoBPQWyb3wWkrZlt3mQsBXHbssesktQ29jtcFAI09Phe0899a52bahtCtmW6RVLelbRPlX+/u+PeFWaURRFDPiPf/y0sd6+71aZffeTl8dTmClH8jKn5IE7ZLeV/a2gLy5RIPv/e8t0YTdWPX9XAamaUrHq9v0j06gR8jLfWPU/AsqAPmHVDwjW+YyterKhusf0RE1pFH5hmqXkp0A2vZNGjaVm+Olbt4IvJSzoLd2ZTDkJYDFH06lT4iKZMDyKZRZVOqrCb0aKkZrcUGIT25RX1PaYjrzVs+RtMZ8oNjNxKMzxyQdu0Pb++3b8eAAXMu748WuUgDnFmUI39aSW1CxSQCuIwZyxqOJSVVAvkvbWHffZzbrQMC0dgSEts/RjVqcoCqRwszm4D+iF9RSou2RY/y0unn3mOQSj9VuQTpzYid02O5xtt3/727cee0zaERq7HXZhGHVeeCiKmbzoVmBGge/sgIl+5kpuZqtwWY7kZc5SDG6Vh2921SiO9ijBjaQjAaNn+GpINulh8fsuvpHyWoCIVS/g/SOlucW67SoALr/6mx++bMY/gr9MHP71H4tV/21s1cnG0tiq5wi/xP0EmJpSw/Swofrzf2esetSoUaz6zho1YtW1p8bjx/PkLFxuIVJ+9Kehoc90y3Fm2un7z3Tklebj28qbr3966+ZQYousmCt54P7wQwX3nQjcUFs8qaG2gvuGBTekU4uqA8ab0IqOOyxBFQqHkobj6diC8M5lMewz0gFxZEycqKtusbFIO+xmXQNH4aMnE1OOhed98kl03Cx9l7VMORR7kq2wLbPdjygQ4vOpjxN20vwyEGGxmU96NSu6bajtRrcz7LbphzbsNDzLbkvXV3/918/bGktDbbHbbDQJ0FC6P5mp8JyavPxZ8qmtithtZQmeiW+f4HxZHlQ8rvjuPLf4zcGh+PnPD/0+M13YDWRubsF0L/yiVh1Mg2zTqFFqSp//2b8Uq/4rY9Ufw6r/qbXq5CSDMN3UlLKWWPVtNlSH8mRgFcy+NmpUq86iQpleXu42atTkZduWwiJMcucbJgrTUwRPzyFbBtbd0owS0NymvKL2jOlkyEz5Hbex2xbcrt0Wf2qoreCG2mEzDA0y2Di4CTVIaCUKqoh1Zbug3HDchhrCaj01rUkW6zg4diicuJNuFXxErIu9dfR6NNiCKuwJVs3vr38tE8xkkcn5hhZiCnyLTbAttigHyNQ08tgAzfp00SeNLsplt9nDXHYbSEVBEt9uG2pn2G2VbjFXKiSPJltgYUpQW5UGt6s8EOc75mb3y7/4xWEebDzeOFYcMT1BHMPfN6YjTkPMbiBTwPtHSk+LdX3/CN8NlAEx8GWmWHXz/lFeq54RfsGAOwPaZTdUp/CoUaO8f6SNGrdn1Z1GjePj4x0dHTJz11j35iDDRIF1iuCi5JyHwHTKZx/stly583Waz1wpAnd5rlCJ57iT4Hbtdga1o4B4PEK8jYCrgbUhY7Xk7I/SEBSqgXWDxUpkBbHLYoWjitteZaoBtSZQmuUBTZXpsBuFHcCq/1WY4oKVI4oSIEsesxZAEaZYyYELAgsX5b6lvy414N623U5yM5QWuJvkFbh9JdjtqRCIW3DzfV12cyh+9rP87H5djyqPQ/NM1R9S/Ip67/ec6cLugt4/SjD9I9NVAIwGzVhsEMxMx6r/UKz646FVh+MsjcMvcUN1y3Rr1U0/AWFNqRN+MVadOeQxVj1q1Lhdq24aNS4tLY2MjHR2dpaWlp47J825vJyFK7VuiFGDxWymI2fmA2A68kpLsFvFnMy0Jbg1xu2FSqzj9uIkKbst1ZhQO2pGouAWdifBLezWWEoU7A4DKWppNRbB3ppABH72TfCNceYOZ2aEY+GsgWNIZKWkynDZds+tPXRLxSCrq/NVwRSFqXHBYoSR9YzuD3+VIZEq7C1WjmkQUBSbUB7p/uhu6NK03aZwSGc46BFTpGvtIHnlWOVZVLAS7PbkodyC2xyxGNycgqTpto/JbHZHv4fCIJiJgGn4S34Jcc2Yqg6p5/g9ZDritMXsBjIlGUxHZIuY7lt1bdQIoIHyK4/8MYaamdaqY7ojqx53FSBMz+ongGxe+MVadTf8wjRPizd22qiR+cvLyxsbG7Ozs319fQ0NDdevX//88891kZtzW3LWjRlqQFmoVU8zHUVleiXvTGE5bDdXgto6Abj5VHAz4YI7XTmptXmpUIkEuNNxEgW3tjzJctyZ4NbYt1L7fQ1zR+EIjZxoezt8rnSRr74ba8z9b0gtvbYaPlou6+AJ0iU3ilDrAzoyidL0zXBHYeRhy1MmrRJBA+ZQoCkzzKks0y3apamSd0Jtr4RtaXerh+C20gPCFywE3OYnTgLcJqilES35WaO+WwNZudn98YsvfsK1xBXFpWXqqE9zselVJ5E6j4a/H+K0JdhdwPtHHtOxyemeGoHvS6arAOy2terg27fqOWpK3fCLbaiu4RetKQX0yUaN8v5RgY0amT86Orq4uMhnR0dHRUXF+fPnT548+bvddcPrrBtjVJlusL61VS+A6SguvBBRfjp98onGuMVu86eltgU3f+K4+VRqM5FZOZmMcQPu0HRngVsqAN1QiVLbNDLx7TZ3pqmfTFM7BLcJSthRKO1gZmETDnDADkMHMGHYLeBgToTUkLMgxrDGI1G2WN2bk1uWX4Iw3VC0rXiLFJirTF1USPJWvB/azlZCZKeoHYPbC3Pb2BTn7le/Sptuy+4EuHmi52L3wYMSguMC0/ZFim+uQK5DrkYuS/elAS7a/zKYDmRub2nVY6Yr1rWmFEBDZCisrwj5Vv2JP8WPJ6x6sp8AsJ5uqB6GX37lN1SPGzWaTtXDRo0vJ5ieC+vMbG1t7e3tbWlpKS8vv3bt2hdffPHmm2++/PLLmfkLVHJdS1VFcyFWXfKkse6UqbIl+6KodNKYibYtcesnbZyEPElqC7jNqpIU3EwkHbcbKoHaIbi5hRTcGKIc4HbtdkhtC25uXWu3o8B3SG0LbhNTVnBrWDmMk9heRNSAs8MABbgAU+ULc1IM2oZ2uboriiokaU5vLfvnA1O00fARlUR2IrqdonYcKkk57hjceU231h5bdmvzUImZpK23xTcXZIRvYTc+g+sWfPOrkSuZ6xk7gi/hZyWX+u8n0xGnLQZ3Ye8fKcot052a0rj7F2vVmaNWHWobq15ITWmehur/8rmwUeMfkTO06i/8u+j9o63DL8wE5ZWVlUVFRRcvXjx9+vT7778P0F94QXqJ8zJvS87qMWqV6Qbre8Z01konF9/aNNDiO4qW3EhWTorXZkX12kzYGLcpT5KCmwlDbS/AvUNwF2y3w0g3gEhTOwqVPP1jMwiOwbe13uKF2WelkvLI+XPbKnxdcm6ZvFXyy82/3XW3I+V1GBhxXLY04naRbSIkUi2pXttS2wlwx3bbDZXkB7dnuiN2h037HXZvYb0NvkN2Hzt2WfHN1c41z5XP9c9dgJXhjuC+OHny9v8fIQNQ6OhjEHEAAAAASUVORK5CYII=">
          <a:extLst>
            <a:ext uri="{FF2B5EF4-FFF2-40B4-BE49-F238E27FC236}">
              <a16:creationId xmlns:a16="http://schemas.microsoft.com/office/drawing/2014/main" id="{61AD9C7E-8DEA-4C54-B5B1-612C06B4452A}"/>
            </a:ext>
          </a:extLst>
        </xdr:cNvPr>
        <xdr:cNvSpPr>
          <a:spLocks noChangeAspect="1" noChangeArrowheads="1"/>
        </xdr:cNvSpPr>
      </xdr:nvSpPr>
      <xdr:spPr bwMode="auto">
        <a:xfrm>
          <a:off x="13898880" y="27630120"/>
          <a:ext cx="304800" cy="304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3332311</xdr:colOff>
      <xdr:row>0</xdr:row>
      <xdr:rowOff>129886</xdr:rowOff>
    </xdr:from>
    <xdr:to>
      <xdr:col>12</xdr:col>
      <xdr:colOff>4858375</xdr:colOff>
      <xdr:row>3</xdr:row>
      <xdr:rowOff>210848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9D40D9-9EB0-4354-82B2-BD045A7BF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25686" r="26667" b="26863"/>
        <a:stretch>
          <a:fillRect/>
        </a:stretch>
      </xdr:blipFill>
      <xdr:spPr>
        <a:xfrm>
          <a:off x="19067611" y="129886"/>
          <a:ext cx="1526064" cy="1018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489856</xdr:colOff>
      <xdr:row>0</xdr:row>
      <xdr:rowOff>20411</xdr:rowOff>
    </xdr:from>
    <xdr:to>
      <xdr:col>6</xdr:col>
      <xdr:colOff>625201</xdr:colOff>
      <xdr:row>0</xdr:row>
      <xdr:rowOff>472640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2356" y="20411"/>
          <a:ext cx="2060933" cy="440799"/>
        </a:xfrm>
        <a:prstGeom prst="rect">
          <a:avLst/>
        </a:prstGeom>
      </xdr:spPr>
    </xdr:pic>
    <xdr:clientData/>
  </xdr:twoCellAnchor>
  <xdr:twoCellAnchor editAs="oneCell">
    <xdr:from>
      <xdr:col>7</xdr:col>
      <xdr:colOff>163286</xdr:colOff>
      <xdr:row>0</xdr:row>
      <xdr:rowOff>27215</xdr:rowOff>
    </xdr:from>
    <xdr:to>
      <xdr:col>7</xdr:col>
      <xdr:colOff>895622</xdr:colOff>
      <xdr:row>0</xdr:row>
      <xdr:rowOff>516434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25686" r="26667" b="26863"/>
        <a:stretch>
          <a:fillRect/>
        </a:stretch>
      </xdr:blipFill>
      <xdr:spPr>
        <a:xfrm>
          <a:off x="7511143" y="27215"/>
          <a:ext cx="722811" cy="493029"/>
        </a:xfrm>
        <a:prstGeom prst="rect">
          <a:avLst/>
        </a:prstGeom>
      </xdr:spPr>
    </xdr:pic>
    <xdr:clientData/>
  </xdr:twoCellAnchor>
  <xdr:twoCellAnchor editAs="oneCell">
    <xdr:from>
      <xdr:col>2</xdr:col>
      <xdr:colOff>2140323</xdr:colOff>
      <xdr:row>0</xdr:row>
      <xdr:rowOff>44824</xdr:rowOff>
    </xdr:from>
    <xdr:to>
      <xdr:col>4</xdr:col>
      <xdr:colOff>475858</xdr:colOff>
      <xdr:row>0</xdr:row>
      <xdr:rowOff>510588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6235" y="44824"/>
          <a:ext cx="2008150" cy="46195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aje, Shripad" id="{6BE0DCAE-3372-42F8-B431-F7792A70C88A}" userId="S::shripad.raje@thyssenkrupp-automotive.com::b69bf0de-0b63-4ef0-8598-5a2539683428" providerId="AD"/>
  <person displayName="Sharma, Deepak" id="{EDE4D888-81D2-4D36-932B-8DEB42E7CB71}" userId="S::deepak.sharma@thyssenkrupp-automotive.com::41b3dbe3-328c-4e70-8d68-ea047a1242a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4" dT="2025-08-29T06:42:14.47" personId="{EDE4D888-81D2-4D36-932B-8DEB42E7CB71}" id="{8B06F501-B312-4939-9597-68BE052CA5F0}">
    <text>Data Received on 14-Aug ,Work Started on 15-Aug</text>
  </threadedComment>
  <threadedComment ref="C19" dT="2025-09-25T05:17:19.34" personId="{6BE0DCAE-3372-42F8-B431-F7792A70C88A}" id="{4B0EE854-4AB0-4DFE-97EC-E5E9F7ACD9B5}">
    <text>Delayed By 1 Week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5278-BF9E-4110-B2C5-D928901CC51E}">
  <sheetPr filterMode="1"/>
  <dimension ref="A1:P59"/>
  <sheetViews>
    <sheetView zoomScale="55" zoomScaleNormal="55" workbookViewId="0">
      <pane xSplit="1" ySplit="5" topLeftCell="H44" activePane="bottomRight" state="frozen"/>
      <selection pane="topRight" activeCell="B1" sqref="B1"/>
      <selection pane="bottomLeft" activeCell="A6" sqref="A6"/>
      <selection pane="bottomRight" activeCell="O55" sqref="O55"/>
    </sheetView>
  </sheetViews>
  <sheetFormatPr defaultColWidth="9.453125" defaultRowHeight="15.5"/>
  <cols>
    <col min="1" max="1" width="1.453125" style="105" customWidth="1"/>
    <col min="2" max="2" width="6.453125" style="133" customWidth="1"/>
    <col min="3" max="3" width="12.36328125" style="131" bestFit="1" customWidth="1"/>
    <col min="4" max="4" width="19.453125" style="132" customWidth="1"/>
    <col min="5" max="5" width="11.36328125" style="132" bestFit="1" customWidth="1"/>
    <col min="6" max="6" width="20.453125" style="133" customWidth="1"/>
    <col min="7" max="7" width="20.6328125" style="132" bestFit="1" customWidth="1"/>
    <col min="8" max="8" width="22.453125" style="133" bestFit="1" customWidth="1"/>
    <col min="9" max="9" width="19.08984375" style="133" customWidth="1"/>
    <col min="10" max="10" width="69" style="134" customWidth="1"/>
    <col min="11" max="11" width="19.08984375" style="132" hidden="1" customWidth="1"/>
    <col min="12" max="12" width="26.90625" style="133" bestFit="1" customWidth="1"/>
    <col min="13" max="13" width="88.36328125" style="135" customWidth="1"/>
    <col min="14" max="14" width="18.453125" style="109" bestFit="1" customWidth="1"/>
    <col min="15" max="15" width="19.453125" style="133" customWidth="1"/>
    <col min="16" max="16" width="53.6328125" style="135" customWidth="1"/>
    <col min="17" max="24" width="8.453125" style="109" customWidth="1"/>
    <col min="25" max="25" width="13.08984375" style="109" bestFit="1" customWidth="1"/>
    <col min="26" max="27" width="8.453125" style="109" customWidth="1"/>
    <col min="28" max="28" width="15.453125" style="109" bestFit="1" customWidth="1"/>
    <col min="29" max="219" width="8.453125" style="109" customWidth="1"/>
    <col min="220" max="241" width="2.453125" style="109" customWidth="1"/>
    <col min="242" max="242" width="3.6328125" style="109" customWidth="1"/>
    <col min="243" max="244" width="5.453125" style="109" bestFit="1" customWidth="1"/>
    <col min="245" max="16384" width="9.453125" style="109"/>
  </cols>
  <sheetData>
    <row r="1" spans="2:16" ht="24.75" customHeight="1">
      <c r="B1" s="219" t="s">
        <v>0</v>
      </c>
      <c r="C1" s="220"/>
      <c r="D1" s="220"/>
      <c r="E1" s="220"/>
      <c r="F1" s="220"/>
      <c r="G1" s="220"/>
      <c r="H1" s="220"/>
      <c r="I1" s="220"/>
      <c r="J1" s="220"/>
      <c r="K1" s="220"/>
      <c r="L1" s="221"/>
      <c r="M1" s="228"/>
      <c r="N1" s="106" t="s">
        <v>1</v>
      </c>
      <c r="O1" s="107">
        <f>COUNTIF(O6:O198,"CLOSE")</f>
        <v>41</v>
      </c>
      <c r="P1" s="108"/>
    </row>
    <row r="2" spans="2:16" ht="24.75" customHeight="1">
      <c r="B2" s="222"/>
      <c r="C2" s="223"/>
      <c r="D2" s="223"/>
      <c r="E2" s="223"/>
      <c r="F2" s="223"/>
      <c r="G2" s="223"/>
      <c r="H2" s="223"/>
      <c r="I2" s="223"/>
      <c r="J2" s="223"/>
      <c r="K2" s="223"/>
      <c r="L2" s="224"/>
      <c r="M2" s="228"/>
      <c r="N2" s="110" t="s">
        <v>2</v>
      </c>
      <c r="O2" s="107">
        <f>COUNTIF(O6:O197,"WIP")</f>
        <v>6</v>
      </c>
      <c r="P2" s="108"/>
    </row>
    <row r="3" spans="2:16" ht="24.75" customHeight="1">
      <c r="B3" s="222"/>
      <c r="C3" s="223"/>
      <c r="D3" s="223"/>
      <c r="E3" s="223"/>
      <c r="F3" s="223"/>
      <c r="G3" s="223"/>
      <c r="H3" s="223"/>
      <c r="I3" s="223"/>
      <c r="J3" s="223"/>
      <c r="K3" s="223"/>
      <c r="L3" s="224"/>
      <c r="M3" s="228"/>
      <c r="N3" s="111" t="s">
        <v>3</v>
      </c>
      <c r="O3" s="107">
        <f>COUNTIF(O6:O198,"OPEN")</f>
        <v>4</v>
      </c>
      <c r="P3" s="108"/>
    </row>
    <row r="4" spans="2:16" ht="24.75" customHeight="1">
      <c r="B4" s="225"/>
      <c r="C4" s="226"/>
      <c r="D4" s="226"/>
      <c r="E4" s="226"/>
      <c r="F4" s="226"/>
      <c r="G4" s="226"/>
      <c r="H4" s="226"/>
      <c r="I4" s="226"/>
      <c r="J4" s="226"/>
      <c r="K4" s="226"/>
      <c r="L4" s="227"/>
      <c r="M4" s="229"/>
      <c r="N4" s="112" t="s">
        <v>4</v>
      </c>
      <c r="O4" s="107">
        <f>SUM(O1:O3)</f>
        <v>51</v>
      </c>
      <c r="P4" s="113"/>
    </row>
    <row r="5" spans="2:16" s="117" customFormat="1" ht="67.5" customHeight="1">
      <c r="B5" s="114" t="s">
        <v>5</v>
      </c>
      <c r="C5" s="115" t="s">
        <v>6</v>
      </c>
      <c r="D5" s="115" t="s">
        <v>7</v>
      </c>
      <c r="E5" s="115" t="s">
        <v>8</v>
      </c>
      <c r="F5" s="115" t="s">
        <v>9</v>
      </c>
      <c r="G5" s="115" t="s">
        <v>10</v>
      </c>
      <c r="H5" s="115" t="s">
        <v>11</v>
      </c>
      <c r="I5" s="115" t="s">
        <v>12</v>
      </c>
      <c r="J5" s="115" t="s">
        <v>13</v>
      </c>
      <c r="K5" s="115" t="s">
        <v>14</v>
      </c>
      <c r="L5" s="115" t="s">
        <v>15</v>
      </c>
      <c r="M5" s="115" t="s">
        <v>16</v>
      </c>
      <c r="N5" s="115" t="s">
        <v>17</v>
      </c>
      <c r="O5" s="115" t="s">
        <v>18</v>
      </c>
      <c r="P5" s="116" t="s">
        <v>19</v>
      </c>
    </row>
    <row r="6" spans="2:16" s="125" customFormat="1" ht="40" hidden="1">
      <c r="B6" s="118">
        <v>1</v>
      </c>
      <c r="C6" s="119"/>
      <c r="D6" s="120"/>
      <c r="E6" s="120"/>
      <c r="F6" s="120" t="s">
        <v>20</v>
      </c>
      <c r="G6" s="120" t="s">
        <v>21</v>
      </c>
      <c r="H6" s="120" t="s">
        <v>22</v>
      </c>
      <c r="I6" s="120">
        <v>45868</v>
      </c>
      <c r="J6" s="122" t="s">
        <v>23</v>
      </c>
      <c r="K6" s="122"/>
      <c r="L6" s="120">
        <v>45868</v>
      </c>
      <c r="M6" s="123"/>
      <c r="N6" s="120">
        <v>45868</v>
      </c>
      <c r="O6" s="120" t="s">
        <v>24</v>
      </c>
      <c r="P6" s="124" t="s">
        <v>25</v>
      </c>
    </row>
    <row r="7" spans="2:16" s="125" customFormat="1" ht="40" hidden="1">
      <c r="B7" s="118">
        <v>2</v>
      </c>
      <c r="C7" s="119"/>
      <c r="D7" s="120"/>
      <c r="E7" s="120"/>
      <c r="F7" s="120" t="s">
        <v>20</v>
      </c>
      <c r="G7" s="120" t="s">
        <v>21</v>
      </c>
      <c r="H7" s="120" t="s">
        <v>22</v>
      </c>
      <c r="I7" s="120">
        <v>45868</v>
      </c>
      <c r="J7" s="122" t="s">
        <v>26</v>
      </c>
      <c r="K7" s="122"/>
      <c r="L7" s="120">
        <v>45868</v>
      </c>
      <c r="M7" s="123"/>
      <c r="N7" s="120">
        <v>45868</v>
      </c>
      <c r="O7" s="120" t="s">
        <v>24</v>
      </c>
      <c r="P7" s="124" t="s">
        <v>27</v>
      </c>
    </row>
    <row r="8" spans="2:16" s="125" customFormat="1" ht="40" hidden="1">
      <c r="B8" s="118">
        <v>3</v>
      </c>
      <c r="C8" s="119"/>
      <c r="D8" s="120"/>
      <c r="E8" s="120"/>
      <c r="F8" s="120" t="s">
        <v>28</v>
      </c>
      <c r="G8" s="120" t="s">
        <v>29</v>
      </c>
      <c r="H8" s="120" t="s">
        <v>20</v>
      </c>
      <c r="I8" s="120">
        <v>45868</v>
      </c>
      <c r="J8" s="122" t="s">
        <v>30</v>
      </c>
      <c r="K8" s="122"/>
      <c r="L8" s="120">
        <v>45880</v>
      </c>
      <c r="M8" s="123"/>
      <c r="N8" s="120">
        <v>45903</v>
      </c>
      <c r="O8" s="120" t="s">
        <v>24</v>
      </c>
      <c r="P8" s="124" t="s">
        <v>31</v>
      </c>
    </row>
    <row r="9" spans="2:16" s="125" customFormat="1" ht="20" hidden="1">
      <c r="B9" s="118">
        <v>8</v>
      </c>
      <c r="C9" s="119"/>
      <c r="D9" s="120"/>
      <c r="E9" s="120"/>
      <c r="F9" s="120" t="s">
        <v>28</v>
      </c>
      <c r="G9" s="120" t="s">
        <v>29</v>
      </c>
      <c r="H9" s="120" t="s">
        <v>20</v>
      </c>
      <c r="I9" s="120">
        <v>45868</v>
      </c>
      <c r="J9" s="126" t="s">
        <v>32</v>
      </c>
      <c r="K9" s="122"/>
      <c r="L9" s="120">
        <v>45886</v>
      </c>
      <c r="M9" s="123"/>
      <c r="N9" s="120">
        <v>45891</v>
      </c>
      <c r="O9" s="120" t="s">
        <v>24</v>
      </c>
      <c r="P9" s="124"/>
    </row>
    <row r="10" spans="2:16" s="125" customFormat="1" ht="68.150000000000006" hidden="1" customHeight="1">
      <c r="B10" s="118">
        <v>4</v>
      </c>
      <c r="C10" s="119"/>
      <c r="D10" s="120"/>
      <c r="E10" s="120"/>
      <c r="F10" s="120" t="s">
        <v>28</v>
      </c>
      <c r="G10" s="120" t="s">
        <v>29</v>
      </c>
      <c r="H10" s="120" t="s">
        <v>20</v>
      </c>
      <c r="I10" s="120">
        <v>45869</v>
      </c>
      <c r="J10" s="122" t="s">
        <v>33</v>
      </c>
      <c r="K10" s="122"/>
      <c r="L10" s="120">
        <v>45876</v>
      </c>
      <c r="M10" s="123"/>
      <c r="N10" s="120">
        <v>45894</v>
      </c>
      <c r="O10" s="120" t="s">
        <v>24</v>
      </c>
      <c r="P10" s="124" t="s">
        <v>34</v>
      </c>
    </row>
    <row r="11" spans="2:16" s="125" customFormat="1" ht="128.25" hidden="1" customHeight="1">
      <c r="B11" s="118">
        <v>7.2</v>
      </c>
      <c r="C11" s="119"/>
      <c r="D11" s="120"/>
      <c r="E11" s="120"/>
      <c r="F11" s="120" t="s">
        <v>35</v>
      </c>
      <c r="G11" s="120" t="s">
        <v>29</v>
      </c>
      <c r="H11" s="120" t="s">
        <v>36</v>
      </c>
      <c r="I11" s="120">
        <v>45870</v>
      </c>
      <c r="J11" s="122" t="s">
        <v>37</v>
      </c>
      <c r="K11" s="122"/>
      <c r="L11" s="155" t="s">
        <v>38</v>
      </c>
      <c r="M11" s="123"/>
      <c r="N11" s="120">
        <v>45909</v>
      </c>
      <c r="O11" s="120" t="s">
        <v>24</v>
      </c>
      <c r="P11" s="124" t="s">
        <v>39</v>
      </c>
    </row>
    <row r="12" spans="2:16" s="125" customFormat="1" ht="140" hidden="1">
      <c r="B12" s="118">
        <v>8.4</v>
      </c>
      <c r="C12" s="119"/>
      <c r="D12" s="120"/>
      <c r="E12" s="120"/>
      <c r="F12" s="120" t="s">
        <v>40</v>
      </c>
      <c r="G12" s="120" t="s">
        <v>29</v>
      </c>
      <c r="H12" s="120" t="s">
        <v>20</v>
      </c>
      <c r="I12" s="120">
        <v>45882</v>
      </c>
      <c r="J12" s="126" t="s">
        <v>41</v>
      </c>
      <c r="K12" s="122"/>
      <c r="L12" s="120">
        <v>45883</v>
      </c>
      <c r="M12" s="123"/>
      <c r="N12" s="120">
        <v>45911</v>
      </c>
      <c r="O12" s="120" t="s">
        <v>24</v>
      </c>
      <c r="P12" s="124" t="s">
        <v>42</v>
      </c>
    </row>
    <row r="13" spans="2:16" s="125" customFormat="1" ht="20" hidden="1">
      <c r="B13" s="118">
        <v>9.6</v>
      </c>
      <c r="C13" s="119"/>
      <c r="D13" s="120"/>
      <c r="E13" s="120"/>
      <c r="F13" s="120" t="s">
        <v>43</v>
      </c>
      <c r="G13" s="120" t="s">
        <v>29</v>
      </c>
      <c r="H13" s="120" t="s">
        <v>20</v>
      </c>
      <c r="I13" s="120">
        <v>45887</v>
      </c>
      <c r="J13" s="126" t="s">
        <v>44</v>
      </c>
      <c r="K13" s="122"/>
      <c r="L13" s="120">
        <v>45888</v>
      </c>
      <c r="M13" s="123"/>
      <c r="N13" s="120">
        <v>45891</v>
      </c>
      <c r="O13" s="120" t="s">
        <v>24</v>
      </c>
      <c r="P13" s="124"/>
    </row>
    <row r="14" spans="2:16" s="125" customFormat="1" ht="20">
      <c r="B14" s="118">
        <v>10.8</v>
      </c>
      <c r="C14" s="119"/>
      <c r="D14" s="120"/>
      <c r="E14" s="120"/>
      <c r="F14" s="120" t="s">
        <v>28</v>
      </c>
      <c r="G14" s="120" t="s">
        <v>29</v>
      </c>
      <c r="H14" s="120" t="s">
        <v>20</v>
      </c>
      <c r="I14" s="120">
        <v>45890</v>
      </c>
      <c r="J14" s="126" t="s">
        <v>45</v>
      </c>
      <c r="K14" s="122"/>
      <c r="L14" s="120">
        <v>45894</v>
      </c>
      <c r="M14" s="123" t="s">
        <v>46</v>
      </c>
      <c r="N14" s="120"/>
      <c r="O14" s="120" t="s">
        <v>47</v>
      </c>
      <c r="P14" s="124"/>
    </row>
    <row r="15" spans="2:16" s="125" customFormat="1" ht="46.4" hidden="1" customHeight="1">
      <c r="B15" s="118">
        <v>12</v>
      </c>
      <c r="C15" s="119"/>
      <c r="D15" s="120"/>
      <c r="E15" s="120"/>
      <c r="F15" s="120" t="s">
        <v>28</v>
      </c>
      <c r="G15" s="120" t="s">
        <v>29</v>
      </c>
      <c r="H15" s="120" t="s">
        <v>36</v>
      </c>
      <c r="I15" s="120">
        <v>45887</v>
      </c>
      <c r="J15" s="126" t="s">
        <v>48</v>
      </c>
      <c r="K15" s="122"/>
      <c r="L15" s="120">
        <v>45890</v>
      </c>
      <c r="M15" s="123"/>
      <c r="N15" s="120">
        <v>45890</v>
      </c>
      <c r="O15" s="120" t="s">
        <v>24</v>
      </c>
      <c r="P15" s="124"/>
    </row>
    <row r="16" spans="2:16" s="125" customFormat="1" ht="45" hidden="1" customHeight="1">
      <c r="B16" s="118">
        <v>13.2</v>
      </c>
      <c r="C16" s="119"/>
      <c r="D16" s="120"/>
      <c r="E16" s="120"/>
      <c r="F16" s="102" t="s">
        <v>49</v>
      </c>
      <c r="G16" s="120" t="s">
        <v>29</v>
      </c>
      <c r="H16" s="157" t="s">
        <v>50</v>
      </c>
      <c r="I16" s="136">
        <v>45890</v>
      </c>
      <c r="J16" s="157" t="s">
        <v>51</v>
      </c>
      <c r="K16" s="104" t="s">
        <v>52</v>
      </c>
      <c r="L16" s="136">
        <v>45896</v>
      </c>
      <c r="M16" s="157" t="s">
        <v>52</v>
      </c>
      <c r="N16" s="120">
        <v>45904</v>
      </c>
      <c r="O16" s="120" t="s">
        <v>24</v>
      </c>
      <c r="P16" s="124" t="s">
        <v>53</v>
      </c>
    </row>
    <row r="17" spans="2:16" s="125" customFormat="1" ht="360" hidden="1">
      <c r="B17" s="118">
        <v>14.4</v>
      </c>
      <c r="C17" s="119"/>
      <c r="D17" s="120"/>
      <c r="E17" s="120"/>
      <c r="F17" s="139" t="s">
        <v>54</v>
      </c>
      <c r="G17" s="120" t="s">
        <v>29</v>
      </c>
      <c r="H17" s="160" t="s">
        <v>20</v>
      </c>
      <c r="I17" s="137">
        <v>45890</v>
      </c>
      <c r="J17" s="158" t="s">
        <v>55</v>
      </c>
      <c r="K17" s="128">
        <v>45889</v>
      </c>
      <c r="L17" s="120">
        <v>45895</v>
      </c>
      <c r="M17" s="103" t="s">
        <v>52</v>
      </c>
      <c r="N17" s="167">
        <v>45915</v>
      </c>
      <c r="O17" s="120" t="s">
        <v>24</v>
      </c>
      <c r="P17" s="124" t="s">
        <v>56</v>
      </c>
    </row>
    <row r="18" spans="2:16" s="125" customFormat="1" ht="36.75" hidden="1" customHeight="1">
      <c r="B18" s="118">
        <v>15.6</v>
      </c>
      <c r="C18" s="119"/>
      <c r="D18" s="120"/>
      <c r="E18" s="120"/>
      <c r="F18" s="120" t="s">
        <v>28</v>
      </c>
      <c r="G18" s="120" t="s">
        <v>29</v>
      </c>
      <c r="H18" s="120" t="s">
        <v>57</v>
      </c>
      <c r="I18" s="137">
        <v>45890</v>
      </c>
      <c r="J18" s="122" t="s">
        <v>58</v>
      </c>
      <c r="K18" s="122"/>
      <c r="L18" s="120">
        <v>45896</v>
      </c>
      <c r="M18" s="123"/>
      <c r="N18" s="120">
        <v>45891</v>
      </c>
      <c r="O18" s="120" t="s">
        <v>24</v>
      </c>
      <c r="P18" s="124"/>
    </row>
    <row r="19" spans="2:16" s="125" customFormat="1" ht="134.4" customHeight="1">
      <c r="B19" s="118">
        <v>16.8</v>
      </c>
      <c r="C19" s="119"/>
      <c r="D19" s="120"/>
      <c r="E19" s="120"/>
      <c r="F19" s="120" t="s">
        <v>28</v>
      </c>
      <c r="G19" s="120" t="s">
        <v>29</v>
      </c>
      <c r="H19" s="120" t="s">
        <v>59</v>
      </c>
      <c r="I19" s="137">
        <v>45890</v>
      </c>
      <c r="J19" s="122" t="s">
        <v>60</v>
      </c>
      <c r="K19" s="122"/>
      <c r="L19" s="120">
        <v>45895</v>
      </c>
      <c r="M19" s="123"/>
      <c r="N19" s="120"/>
      <c r="O19" s="120" t="s">
        <v>2</v>
      </c>
      <c r="P19" s="124" t="s">
        <v>61</v>
      </c>
    </row>
    <row r="20" spans="2:16" s="125" customFormat="1" ht="60" hidden="1" customHeight="1">
      <c r="B20" s="118">
        <v>18</v>
      </c>
      <c r="C20" s="119"/>
      <c r="D20" s="120"/>
      <c r="E20" s="120"/>
      <c r="F20" s="120" t="s">
        <v>54</v>
      </c>
      <c r="G20" s="120" t="s">
        <v>29</v>
      </c>
      <c r="H20" s="120" t="s">
        <v>62</v>
      </c>
      <c r="I20" s="137">
        <v>45890</v>
      </c>
      <c r="J20" s="122" t="s">
        <v>63</v>
      </c>
      <c r="K20" s="122"/>
      <c r="L20" s="120">
        <v>45894</v>
      </c>
      <c r="M20" s="123"/>
      <c r="N20" s="120">
        <v>45908</v>
      </c>
      <c r="O20" s="120" t="s">
        <v>24</v>
      </c>
      <c r="P20" s="124" t="s">
        <v>64</v>
      </c>
    </row>
    <row r="21" spans="2:16" s="125" customFormat="1" ht="40" hidden="1">
      <c r="B21" s="118">
        <v>19.2</v>
      </c>
      <c r="C21" s="119"/>
      <c r="D21" s="120"/>
      <c r="E21" s="120"/>
      <c r="F21" s="120" t="s">
        <v>54</v>
      </c>
      <c r="G21" s="120" t="s">
        <v>29</v>
      </c>
      <c r="H21" s="120" t="s">
        <v>20</v>
      </c>
      <c r="I21" s="120">
        <v>45889</v>
      </c>
      <c r="J21" s="122" t="s">
        <v>65</v>
      </c>
      <c r="K21" s="122"/>
      <c r="L21" s="120">
        <v>45894</v>
      </c>
      <c r="M21" s="123"/>
      <c r="N21" s="120">
        <v>45897</v>
      </c>
      <c r="O21" s="120" t="s">
        <v>24</v>
      </c>
      <c r="P21" s="124" t="s">
        <v>66</v>
      </c>
    </row>
    <row r="22" spans="2:16" s="125" customFormat="1" ht="40" hidden="1">
      <c r="B22" s="118">
        <v>20.399999999999999</v>
      </c>
      <c r="C22" s="119"/>
      <c r="D22" s="120"/>
      <c r="E22" s="120"/>
      <c r="F22" s="120" t="s">
        <v>54</v>
      </c>
      <c r="G22" s="120" t="s">
        <v>29</v>
      </c>
      <c r="H22" s="120" t="s">
        <v>67</v>
      </c>
      <c r="I22" s="120">
        <v>45889</v>
      </c>
      <c r="J22" s="122" t="s">
        <v>68</v>
      </c>
      <c r="K22" s="122"/>
      <c r="L22" s="120">
        <v>45894</v>
      </c>
      <c r="M22" s="123"/>
      <c r="N22" s="120">
        <v>45897</v>
      </c>
      <c r="O22" s="120" t="s">
        <v>24</v>
      </c>
      <c r="P22" s="124" t="s">
        <v>69</v>
      </c>
    </row>
    <row r="23" spans="2:16" s="125" customFormat="1" ht="44.15" hidden="1" customHeight="1">
      <c r="B23" s="118">
        <v>21.6</v>
      </c>
      <c r="C23" s="119"/>
      <c r="D23" s="120"/>
      <c r="E23" s="120"/>
      <c r="F23" s="120" t="s">
        <v>49</v>
      </c>
      <c r="G23" s="120" t="s">
        <v>29</v>
      </c>
      <c r="H23" s="120" t="s">
        <v>20</v>
      </c>
      <c r="I23" s="120">
        <v>45891</v>
      </c>
      <c r="J23" s="122" t="s">
        <v>70</v>
      </c>
      <c r="K23" s="122"/>
      <c r="L23" s="120">
        <v>45891</v>
      </c>
      <c r="M23" s="123"/>
      <c r="N23" s="120">
        <v>45898</v>
      </c>
      <c r="O23" s="120" t="s">
        <v>24</v>
      </c>
      <c r="P23" s="124"/>
    </row>
    <row r="24" spans="2:16" s="125" customFormat="1" ht="20" hidden="1">
      <c r="B24" s="118">
        <v>22.8</v>
      </c>
      <c r="C24" s="119"/>
      <c r="D24" s="120"/>
      <c r="E24" s="120"/>
      <c r="F24" s="120" t="s">
        <v>54</v>
      </c>
      <c r="G24" s="120" t="s">
        <v>29</v>
      </c>
      <c r="H24" s="120" t="s">
        <v>20</v>
      </c>
      <c r="I24" s="120">
        <v>45890</v>
      </c>
      <c r="J24" s="140" t="s">
        <v>71</v>
      </c>
      <c r="K24" s="127">
        <v>45890</v>
      </c>
      <c r="L24" s="120">
        <v>45894</v>
      </c>
      <c r="M24" s="123"/>
      <c r="N24" s="120">
        <v>45891</v>
      </c>
      <c r="O24" s="120" t="s">
        <v>24</v>
      </c>
      <c r="P24" s="124" t="s">
        <v>72</v>
      </c>
    </row>
    <row r="25" spans="2:16" s="125" customFormat="1" ht="47.25" hidden="1" customHeight="1">
      <c r="B25" s="118">
        <v>24</v>
      </c>
      <c r="C25" s="119"/>
      <c r="D25" s="120"/>
      <c r="E25" s="120"/>
      <c r="F25" s="120" t="s">
        <v>73</v>
      </c>
      <c r="G25" s="120" t="s">
        <v>21</v>
      </c>
      <c r="H25" s="120" t="s">
        <v>74</v>
      </c>
      <c r="I25" s="120">
        <v>45891</v>
      </c>
      <c r="J25" s="122" t="s">
        <v>75</v>
      </c>
      <c r="K25" s="122"/>
      <c r="L25" s="120">
        <v>45912</v>
      </c>
      <c r="M25" s="123"/>
      <c r="N25" s="120">
        <v>45908</v>
      </c>
      <c r="O25" s="120" t="s">
        <v>24</v>
      </c>
    </row>
    <row r="26" spans="2:16" s="125" customFormat="1" ht="98.4" hidden="1" customHeight="1">
      <c r="B26" s="118">
        <v>25.2</v>
      </c>
      <c r="C26" s="119"/>
      <c r="D26" s="120"/>
      <c r="E26" s="120"/>
      <c r="F26" s="120" t="s">
        <v>73</v>
      </c>
      <c r="G26" s="120" t="s">
        <v>21</v>
      </c>
      <c r="H26" s="120" t="s">
        <v>76</v>
      </c>
      <c r="I26" s="120">
        <v>45891</v>
      </c>
      <c r="J26" s="126" t="s">
        <v>77</v>
      </c>
      <c r="K26" s="122"/>
      <c r="L26" s="120">
        <v>45897</v>
      </c>
      <c r="M26" s="123"/>
      <c r="N26" s="120">
        <v>45910</v>
      </c>
      <c r="O26" s="120" t="s">
        <v>24</v>
      </c>
      <c r="P26" s="124" t="s">
        <v>78</v>
      </c>
    </row>
    <row r="27" spans="2:16" s="125" customFormat="1" ht="40" hidden="1">
      <c r="B27" s="118">
        <v>26.4</v>
      </c>
      <c r="C27" s="119"/>
      <c r="D27" s="120"/>
      <c r="E27" s="120"/>
      <c r="F27" s="120" t="s">
        <v>73</v>
      </c>
      <c r="G27" s="120" t="s">
        <v>21</v>
      </c>
      <c r="H27" s="120" t="s">
        <v>76</v>
      </c>
      <c r="I27" s="120">
        <v>45891</v>
      </c>
      <c r="J27" s="126" t="s">
        <v>79</v>
      </c>
      <c r="K27" s="122"/>
      <c r="L27" s="120">
        <v>45897</v>
      </c>
      <c r="M27" s="123"/>
      <c r="N27" s="120">
        <v>45898</v>
      </c>
      <c r="O27" s="120" t="s">
        <v>24</v>
      </c>
      <c r="P27" s="124"/>
    </row>
    <row r="28" spans="2:16" s="125" customFormat="1" ht="80" hidden="1">
      <c r="B28" s="118">
        <v>27.6</v>
      </c>
      <c r="C28" s="119"/>
      <c r="D28" s="120"/>
      <c r="E28" s="120"/>
      <c r="F28" s="120" t="s">
        <v>73</v>
      </c>
      <c r="G28" s="120" t="s">
        <v>21</v>
      </c>
      <c r="H28" s="120" t="s">
        <v>80</v>
      </c>
      <c r="I28" s="120">
        <v>45891</v>
      </c>
      <c r="J28" s="126" t="s">
        <v>81</v>
      </c>
      <c r="K28" s="122"/>
      <c r="L28" s="120">
        <v>45904</v>
      </c>
      <c r="M28" s="123"/>
      <c r="N28" s="120">
        <v>45903</v>
      </c>
      <c r="O28" s="120" t="s">
        <v>24</v>
      </c>
      <c r="P28" s="124" t="s">
        <v>82</v>
      </c>
    </row>
    <row r="29" spans="2:16" s="125" customFormat="1" ht="47.25" hidden="1" customHeight="1">
      <c r="B29" s="118">
        <v>28.8</v>
      </c>
      <c r="C29" s="119"/>
      <c r="D29" s="120"/>
      <c r="E29" s="120"/>
      <c r="F29" s="120" t="s">
        <v>73</v>
      </c>
      <c r="G29" s="120" t="s">
        <v>21</v>
      </c>
      <c r="H29" s="120" t="s">
        <v>83</v>
      </c>
      <c r="I29" s="120">
        <v>45891</v>
      </c>
      <c r="J29" s="126" t="s">
        <v>84</v>
      </c>
      <c r="K29" s="122"/>
      <c r="L29" s="120" t="s">
        <v>85</v>
      </c>
      <c r="M29" s="123"/>
      <c r="N29" s="120">
        <v>45898</v>
      </c>
      <c r="O29" s="120" t="s">
        <v>24</v>
      </c>
      <c r="P29" s="124" t="s">
        <v>86</v>
      </c>
    </row>
    <row r="30" spans="2:16" s="125" customFormat="1" ht="80.400000000000006" hidden="1" customHeight="1">
      <c r="B30" s="118">
        <v>30</v>
      </c>
      <c r="C30" s="119"/>
      <c r="D30" s="120"/>
      <c r="E30" s="120"/>
      <c r="F30" s="120" t="s">
        <v>73</v>
      </c>
      <c r="G30" s="120" t="s">
        <v>21</v>
      </c>
      <c r="H30" s="120" t="s">
        <v>74</v>
      </c>
      <c r="I30" s="120">
        <v>45891</v>
      </c>
      <c r="J30" s="126" t="s">
        <v>87</v>
      </c>
      <c r="K30" s="122"/>
      <c r="L30" s="120">
        <v>45924</v>
      </c>
      <c r="M30" s="126"/>
      <c r="N30" s="120">
        <v>45925</v>
      </c>
      <c r="O30" s="120" t="s">
        <v>24</v>
      </c>
      <c r="P30" s="124" t="s">
        <v>88</v>
      </c>
    </row>
    <row r="31" spans="2:16" s="125" customFormat="1" ht="47.25" hidden="1" customHeight="1">
      <c r="B31" s="118">
        <v>31.2</v>
      </c>
      <c r="C31" s="119"/>
      <c r="D31" s="120"/>
      <c r="E31" s="120"/>
      <c r="F31" s="120" t="s">
        <v>89</v>
      </c>
      <c r="G31" s="120" t="s">
        <v>29</v>
      </c>
      <c r="H31" s="120" t="s">
        <v>20</v>
      </c>
      <c r="I31" s="120">
        <v>45894</v>
      </c>
      <c r="J31" s="126" t="s">
        <v>90</v>
      </c>
      <c r="K31" s="122"/>
      <c r="L31" s="120">
        <v>45899</v>
      </c>
      <c r="M31" s="156" t="s">
        <v>91</v>
      </c>
      <c r="N31" s="120">
        <v>45911</v>
      </c>
      <c r="O31" s="120" t="s">
        <v>24</v>
      </c>
      <c r="P31" s="124" t="s">
        <v>92</v>
      </c>
    </row>
    <row r="32" spans="2:16" s="125" customFormat="1" ht="40" hidden="1">
      <c r="B32" s="118">
        <v>32.4</v>
      </c>
      <c r="C32" s="119"/>
      <c r="D32" s="120"/>
      <c r="E32" s="120"/>
      <c r="F32" s="120" t="s">
        <v>93</v>
      </c>
      <c r="G32" s="120" t="s">
        <v>29</v>
      </c>
      <c r="H32" s="120" t="s">
        <v>36</v>
      </c>
      <c r="I32" s="120">
        <v>45895</v>
      </c>
      <c r="J32" s="126" t="s">
        <v>94</v>
      </c>
      <c r="K32" s="122"/>
      <c r="L32" s="120">
        <v>45897</v>
      </c>
      <c r="M32" s="129"/>
      <c r="N32" s="120">
        <v>45898</v>
      </c>
      <c r="O32" s="120" t="s">
        <v>24</v>
      </c>
      <c r="P32" s="124" t="s">
        <v>95</v>
      </c>
    </row>
    <row r="33" spans="2:16" s="125" customFormat="1" ht="40" hidden="1">
      <c r="B33" s="118">
        <v>33.6</v>
      </c>
      <c r="C33" s="119"/>
      <c r="D33" s="120"/>
      <c r="E33" s="120"/>
      <c r="F33" s="120" t="s">
        <v>93</v>
      </c>
      <c r="G33" s="120" t="s">
        <v>29</v>
      </c>
      <c r="H33" s="120" t="s">
        <v>36</v>
      </c>
      <c r="I33" s="120">
        <v>45895</v>
      </c>
      <c r="J33" s="126" t="s">
        <v>96</v>
      </c>
      <c r="K33" s="122"/>
      <c r="L33" s="120">
        <v>45897</v>
      </c>
      <c r="M33" s="123"/>
      <c r="N33" s="120">
        <v>45904</v>
      </c>
      <c r="O33" s="120" t="s">
        <v>24</v>
      </c>
      <c r="P33" s="124" t="s">
        <v>97</v>
      </c>
    </row>
    <row r="34" spans="2:16" s="125" customFormat="1" ht="80" hidden="1">
      <c r="B34" s="118">
        <v>34.799999999999997</v>
      </c>
      <c r="C34" s="119"/>
      <c r="D34" s="120"/>
      <c r="E34" s="120"/>
      <c r="F34" s="120" t="s">
        <v>49</v>
      </c>
      <c r="G34" s="120" t="s">
        <v>29</v>
      </c>
      <c r="H34" s="120" t="s">
        <v>98</v>
      </c>
      <c r="I34" s="120">
        <v>45898</v>
      </c>
      <c r="J34" s="126" t="s">
        <v>99</v>
      </c>
      <c r="K34" s="122"/>
      <c r="L34" s="120">
        <v>45899</v>
      </c>
      <c r="M34" s="123"/>
      <c r="N34" s="120">
        <v>45904</v>
      </c>
      <c r="O34" s="120" t="s">
        <v>24</v>
      </c>
      <c r="P34" s="124" t="s">
        <v>100</v>
      </c>
    </row>
    <row r="35" spans="2:16" s="125" customFormat="1" ht="100" hidden="1">
      <c r="B35" s="118">
        <v>36</v>
      </c>
      <c r="C35" s="119"/>
      <c r="D35" s="120"/>
      <c r="E35" s="120"/>
      <c r="F35" s="120" t="s">
        <v>49</v>
      </c>
      <c r="G35" s="120" t="s">
        <v>29</v>
      </c>
      <c r="H35" s="120" t="s">
        <v>98</v>
      </c>
      <c r="I35" s="120">
        <v>45898</v>
      </c>
      <c r="J35" s="126" t="s">
        <v>101</v>
      </c>
      <c r="K35" s="122"/>
      <c r="L35" s="120">
        <v>45899</v>
      </c>
      <c r="M35" s="123"/>
      <c r="N35" s="120">
        <v>45904</v>
      </c>
      <c r="O35" s="120" t="s">
        <v>24</v>
      </c>
      <c r="P35" s="124" t="s">
        <v>102</v>
      </c>
    </row>
    <row r="36" spans="2:16" s="125" customFormat="1" ht="47" hidden="1">
      <c r="B36" s="118">
        <v>37.200000000000003</v>
      </c>
      <c r="C36" s="119"/>
      <c r="D36" s="120"/>
      <c r="E36" s="120"/>
      <c r="F36" s="120" t="s">
        <v>36</v>
      </c>
      <c r="G36" s="120" t="s">
        <v>29</v>
      </c>
      <c r="H36" s="120" t="s">
        <v>76</v>
      </c>
      <c r="I36" s="120">
        <v>45898</v>
      </c>
      <c r="J36" s="81" t="s">
        <v>103</v>
      </c>
      <c r="K36" s="122"/>
      <c r="L36" s="120">
        <v>45899</v>
      </c>
      <c r="M36" s="123"/>
      <c r="N36" s="120">
        <v>45903</v>
      </c>
      <c r="O36" s="120" t="s">
        <v>24</v>
      </c>
      <c r="P36" s="124" t="s">
        <v>104</v>
      </c>
    </row>
    <row r="37" spans="2:16" s="125" customFormat="1" ht="23.5" hidden="1">
      <c r="B37" s="118">
        <v>38.4</v>
      </c>
      <c r="C37" s="119"/>
      <c r="D37" s="120"/>
      <c r="E37" s="120"/>
      <c r="F37" s="120" t="s">
        <v>49</v>
      </c>
      <c r="G37" s="120" t="s">
        <v>105</v>
      </c>
      <c r="H37" s="120" t="s">
        <v>50</v>
      </c>
      <c r="I37" s="120">
        <v>45901</v>
      </c>
      <c r="J37" s="81" t="s">
        <v>106</v>
      </c>
      <c r="K37" s="122"/>
      <c r="L37" s="120">
        <v>45903</v>
      </c>
      <c r="M37" s="123"/>
      <c r="N37" s="120">
        <v>45904</v>
      </c>
      <c r="O37" s="120" t="s">
        <v>24</v>
      </c>
      <c r="P37" s="124"/>
    </row>
    <row r="38" spans="2:16" s="125" customFormat="1" ht="40" hidden="1">
      <c r="B38" s="118">
        <v>39.6</v>
      </c>
      <c r="C38" s="119"/>
      <c r="D38" s="120"/>
      <c r="E38" s="120"/>
      <c r="F38" s="120" t="s">
        <v>93</v>
      </c>
      <c r="G38" s="120" t="s">
        <v>105</v>
      </c>
      <c r="H38" s="120" t="s">
        <v>36</v>
      </c>
      <c r="I38" s="120">
        <v>45902</v>
      </c>
      <c r="J38" s="81" t="s">
        <v>107</v>
      </c>
      <c r="K38" s="122"/>
      <c r="L38" s="120">
        <v>45903</v>
      </c>
      <c r="M38" s="123"/>
      <c r="N38" s="120">
        <v>45904</v>
      </c>
      <c r="O38" s="120" t="s">
        <v>24</v>
      </c>
      <c r="P38" s="124" t="s">
        <v>108</v>
      </c>
    </row>
    <row r="39" spans="2:16" s="125" customFormat="1" ht="40">
      <c r="B39" s="118">
        <v>40.799999999999997</v>
      </c>
      <c r="C39" s="119"/>
      <c r="D39" s="120"/>
      <c r="E39" s="120"/>
      <c r="F39" s="120" t="s">
        <v>109</v>
      </c>
      <c r="G39" s="120" t="s">
        <v>21</v>
      </c>
      <c r="H39" s="120" t="s">
        <v>76</v>
      </c>
      <c r="I39" s="120">
        <v>45898</v>
      </c>
      <c r="J39" s="81" t="s">
        <v>110</v>
      </c>
      <c r="K39" s="122"/>
      <c r="L39" s="120">
        <v>45950</v>
      </c>
      <c r="M39" s="123"/>
      <c r="N39" s="120"/>
      <c r="O39" s="120" t="s">
        <v>2</v>
      </c>
      <c r="P39" s="124" t="s">
        <v>111</v>
      </c>
    </row>
    <row r="40" spans="2:16" s="125" customFormat="1" ht="100" hidden="1">
      <c r="B40" s="118">
        <v>42</v>
      </c>
      <c r="C40" s="119"/>
      <c r="D40" s="120"/>
      <c r="E40" s="120"/>
      <c r="F40" s="120" t="s">
        <v>49</v>
      </c>
      <c r="G40" s="120" t="s">
        <v>29</v>
      </c>
      <c r="H40" s="120" t="s">
        <v>112</v>
      </c>
      <c r="I40" s="120">
        <v>45905</v>
      </c>
      <c r="J40" s="81" t="s">
        <v>113</v>
      </c>
      <c r="K40" s="122"/>
      <c r="L40" s="120">
        <v>45909</v>
      </c>
      <c r="M40" s="123"/>
      <c r="N40" s="120"/>
      <c r="O40" s="120" t="s">
        <v>24</v>
      </c>
      <c r="P40" s="124" t="s">
        <v>114</v>
      </c>
    </row>
    <row r="41" spans="2:16" s="125" customFormat="1" ht="140" hidden="1">
      <c r="B41" s="118">
        <v>43.2</v>
      </c>
      <c r="C41" s="119"/>
      <c r="D41" s="120"/>
      <c r="E41" s="120"/>
      <c r="F41" s="120" t="s">
        <v>115</v>
      </c>
      <c r="G41" s="120" t="s">
        <v>29</v>
      </c>
      <c r="H41" s="120" t="s">
        <v>116</v>
      </c>
      <c r="I41" s="120">
        <v>45909</v>
      </c>
      <c r="J41" s="81" t="s">
        <v>117</v>
      </c>
      <c r="K41" s="122"/>
      <c r="L41" s="120">
        <v>45911</v>
      </c>
      <c r="M41" s="123"/>
      <c r="N41" s="120">
        <v>45915</v>
      </c>
      <c r="O41" s="120" t="s">
        <v>24</v>
      </c>
      <c r="P41" s="161" t="s">
        <v>118</v>
      </c>
    </row>
    <row r="42" spans="2:16" s="125" customFormat="1" ht="100">
      <c r="B42" s="118">
        <v>44.4</v>
      </c>
      <c r="C42" s="119"/>
      <c r="D42" s="120"/>
      <c r="E42" s="120"/>
      <c r="F42" s="120" t="s">
        <v>115</v>
      </c>
      <c r="G42" s="120" t="s">
        <v>29</v>
      </c>
      <c r="H42" s="120" t="s">
        <v>98</v>
      </c>
      <c r="I42" s="120">
        <v>45909</v>
      </c>
      <c r="J42" s="81" t="s">
        <v>119</v>
      </c>
      <c r="K42" s="122"/>
      <c r="L42" s="120">
        <v>45911</v>
      </c>
      <c r="M42" s="123"/>
      <c r="N42" s="120"/>
      <c r="O42" s="120" t="s">
        <v>2</v>
      </c>
      <c r="P42" s="124" t="s">
        <v>120</v>
      </c>
    </row>
    <row r="43" spans="2:16" s="125" customFormat="1" ht="78.650000000000006" hidden="1" customHeight="1">
      <c r="B43" s="118">
        <v>45.6</v>
      </c>
      <c r="C43" s="119"/>
      <c r="D43" s="120"/>
      <c r="E43" s="120"/>
      <c r="F43" s="120" t="s">
        <v>121</v>
      </c>
      <c r="G43" s="120" t="s">
        <v>29</v>
      </c>
      <c r="H43" s="120" t="s">
        <v>122</v>
      </c>
      <c r="I43" s="120">
        <v>45908</v>
      </c>
      <c r="J43" s="126" t="s">
        <v>123</v>
      </c>
      <c r="K43" s="122"/>
      <c r="L43" s="120">
        <v>45911</v>
      </c>
      <c r="M43" s="123"/>
      <c r="N43" s="120">
        <v>45924</v>
      </c>
      <c r="O43" s="120" t="s">
        <v>24</v>
      </c>
      <c r="P43" s="161" t="s">
        <v>124</v>
      </c>
    </row>
    <row r="44" spans="2:16" s="125" customFormat="1" ht="180">
      <c r="B44" s="118">
        <v>46.8</v>
      </c>
      <c r="C44" s="119"/>
      <c r="D44" s="120"/>
      <c r="E44" s="120"/>
      <c r="F44" s="120" t="s">
        <v>93</v>
      </c>
      <c r="G44" s="120" t="s">
        <v>29</v>
      </c>
      <c r="H44" s="120" t="s">
        <v>36</v>
      </c>
      <c r="I44" s="120">
        <v>45903</v>
      </c>
      <c r="J44" s="126" t="s">
        <v>125</v>
      </c>
      <c r="K44" s="122"/>
      <c r="L44" s="120">
        <v>45912</v>
      </c>
      <c r="M44" s="123"/>
      <c r="N44" s="120"/>
      <c r="O44" s="120" t="s">
        <v>2</v>
      </c>
      <c r="P44" s="124" t="s">
        <v>126</v>
      </c>
    </row>
    <row r="45" spans="2:16" s="125" customFormat="1" ht="47.25" hidden="1" customHeight="1">
      <c r="B45" s="118">
        <v>48</v>
      </c>
      <c r="C45" s="119"/>
      <c r="D45" s="120"/>
      <c r="E45" s="120"/>
      <c r="F45" s="120" t="s">
        <v>35</v>
      </c>
      <c r="G45" s="120" t="s">
        <v>29</v>
      </c>
      <c r="H45" s="120" t="s">
        <v>36</v>
      </c>
      <c r="I45" s="120">
        <v>45908</v>
      </c>
      <c r="J45" s="126" t="s">
        <v>127</v>
      </c>
      <c r="K45" s="122"/>
      <c r="L45" s="120">
        <v>45911</v>
      </c>
      <c r="M45" s="123"/>
      <c r="N45" s="120">
        <v>45911</v>
      </c>
      <c r="O45" s="120" t="s">
        <v>24</v>
      </c>
      <c r="P45" s="166" t="s">
        <v>128</v>
      </c>
    </row>
    <row r="46" spans="2:16" s="125" customFormat="1" ht="86.15" hidden="1" customHeight="1">
      <c r="B46" s="118">
        <v>49.2</v>
      </c>
      <c r="C46" s="119"/>
      <c r="D46" s="120"/>
      <c r="E46" s="162"/>
      <c r="F46" s="120" t="s">
        <v>93</v>
      </c>
      <c r="G46" s="120" t="s">
        <v>29</v>
      </c>
      <c r="H46" s="120" t="s">
        <v>36</v>
      </c>
      <c r="I46" s="120">
        <v>45911</v>
      </c>
      <c r="J46" s="163" t="s">
        <v>129</v>
      </c>
      <c r="K46" s="132"/>
      <c r="L46" s="164" t="s">
        <v>85</v>
      </c>
      <c r="M46" s="165"/>
      <c r="N46" s="120"/>
      <c r="O46" s="120" t="s">
        <v>24</v>
      </c>
      <c r="P46" s="166" t="s">
        <v>130</v>
      </c>
    </row>
    <row r="47" spans="2:16" s="125" customFormat="1" ht="108" customHeight="1">
      <c r="B47" s="118">
        <v>50.4</v>
      </c>
      <c r="C47" s="119"/>
      <c r="D47" s="120"/>
      <c r="E47" s="120"/>
      <c r="F47" s="120" t="s">
        <v>121</v>
      </c>
      <c r="G47" s="120" t="s">
        <v>29</v>
      </c>
      <c r="H47" s="120" t="s">
        <v>122</v>
      </c>
      <c r="I47" s="120">
        <v>45908</v>
      </c>
      <c r="J47" s="126" t="s">
        <v>131</v>
      </c>
      <c r="K47" s="122"/>
      <c r="L47" s="120">
        <v>45922</v>
      </c>
      <c r="M47" s="123"/>
      <c r="N47" s="120"/>
      <c r="O47" s="120" t="s">
        <v>2</v>
      </c>
      <c r="P47" s="161" t="s">
        <v>132</v>
      </c>
    </row>
    <row r="48" spans="2:16" s="125" customFormat="1" ht="47.25" customHeight="1">
      <c r="B48" s="118">
        <v>51.6</v>
      </c>
      <c r="C48" s="119"/>
      <c r="D48" s="120"/>
      <c r="E48" s="120"/>
      <c r="F48" s="120" t="s">
        <v>40</v>
      </c>
      <c r="G48" s="120" t="s">
        <v>29</v>
      </c>
      <c r="H48" s="120" t="s">
        <v>36</v>
      </c>
      <c r="I48" s="120">
        <v>45911</v>
      </c>
      <c r="J48" s="126" t="s">
        <v>133</v>
      </c>
      <c r="K48" s="122"/>
      <c r="L48" s="120">
        <v>45915</v>
      </c>
      <c r="M48" s="123"/>
      <c r="N48" s="120"/>
      <c r="O48" s="120" t="s">
        <v>47</v>
      </c>
      <c r="P48" s="124" t="s">
        <v>134</v>
      </c>
    </row>
    <row r="49" spans="2:16" s="125" customFormat="1" ht="47.25" customHeight="1">
      <c r="B49" s="118">
        <v>52.8</v>
      </c>
      <c r="C49" s="119"/>
      <c r="D49" s="120"/>
      <c r="E49" s="120"/>
      <c r="F49" s="120" t="s">
        <v>36</v>
      </c>
      <c r="G49" s="120" t="s">
        <v>21</v>
      </c>
      <c r="H49" s="120" t="s">
        <v>28</v>
      </c>
      <c r="I49" s="120">
        <v>45911</v>
      </c>
      <c r="J49" s="122" t="s">
        <v>135</v>
      </c>
      <c r="K49" s="122"/>
      <c r="L49" s="120">
        <v>45930</v>
      </c>
      <c r="M49" s="123"/>
      <c r="N49" s="120"/>
      <c r="O49" s="120" t="s">
        <v>2</v>
      </c>
      <c r="P49" s="124" t="s">
        <v>136</v>
      </c>
    </row>
    <row r="50" spans="2:16" s="125" customFormat="1" ht="20" hidden="1">
      <c r="B50" s="118">
        <v>54</v>
      </c>
      <c r="C50" s="119"/>
      <c r="D50" s="120"/>
      <c r="E50" s="120"/>
      <c r="F50" s="120" t="s">
        <v>36</v>
      </c>
      <c r="G50" s="120" t="s">
        <v>29</v>
      </c>
      <c r="H50" s="125" t="s">
        <v>137</v>
      </c>
      <c r="I50" s="120">
        <v>45911</v>
      </c>
      <c r="J50" s="122" t="s">
        <v>138</v>
      </c>
      <c r="K50" s="122"/>
      <c r="L50" s="120">
        <v>45930</v>
      </c>
      <c r="M50" s="123"/>
      <c r="N50" s="120">
        <v>45930</v>
      </c>
      <c r="O50" s="120" t="s">
        <v>24</v>
      </c>
      <c r="P50" s="124"/>
    </row>
    <row r="51" spans="2:16" s="125" customFormat="1" ht="63.65" customHeight="1">
      <c r="B51" s="118">
        <v>55.2</v>
      </c>
      <c r="C51" s="119"/>
      <c r="D51" s="120"/>
      <c r="E51" s="120"/>
      <c r="F51" s="120" t="s">
        <v>40</v>
      </c>
      <c r="G51" s="120" t="s">
        <v>29</v>
      </c>
      <c r="H51" s="120" t="s">
        <v>20</v>
      </c>
      <c r="I51" s="120">
        <v>45917</v>
      </c>
      <c r="J51" s="122" t="s">
        <v>139</v>
      </c>
      <c r="K51" s="122"/>
      <c r="L51" s="120">
        <v>45924</v>
      </c>
      <c r="M51" s="123"/>
      <c r="N51" s="120"/>
      <c r="O51" s="120" t="s">
        <v>47</v>
      </c>
      <c r="P51" s="122" t="s">
        <v>140</v>
      </c>
    </row>
    <row r="52" spans="2:16" s="125" customFormat="1" ht="66" hidden="1" customHeight="1">
      <c r="B52" s="118">
        <v>56.4</v>
      </c>
      <c r="C52" s="119"/>
      <c r="D52" s="120"/>
      <c r="E52" s="120"/>
      <c r="F52" s="120" t="s">
        <v>93</v>
      </c>
      <c r="G52" s="120" t="s">
        <v>29</v>
      </c>
      <c r="H52" s="120" t="s">
        <v>36</v>
      </c>
      <c r="I52" s="120">
        <v>45917</v>
      </c>
      <c r="J52" s="122" t="s">
        <v>141</v>
      </c>
      <c r="K52" s="122"/>
      <c r="L52" s="120">
        <v>45924</v>
      </c>
      <c r="M52" s="123"/>
      <c r="N52" s="120">
        <v>45924</v>
      </c>
      <c r="O52" s="120" t="s">
        <v>24</v>
      </c>
      <c r="P52" s="122" t="s">
        <v>142</v>
      </c>
    </row>
    <row r="53" spans="2:16" s="125" customFormat="1" ht="220" hidden="1">
      <c r="B53" s="118">
        <v>57.6</v>
      </c>
      <c r="C53" s="119"/>
      <c r="D53" s="120"/>
      <c r="E53" s="120"/>
      <c r="F53" s="120" t="s">
        <v>54</v>
      </c>
      <c r="G53" s="120" t="s">
        <v>29</v>
      </c>
      <c r="H53" s="120" t="s">
        <v>36</v>
      </c>
      <c r="I53" s="120">
        <v>45922</v>
      </c>
      <c r="J53" s="122" t="s">
        <v>143</v>
      </c>
      <c r="K53" s="122"/>
      <c r="L53" s="120">
        <v>45929</v>
      </c>
      <c r="M53" s="123"/>
      <c r="N53" s="120">
        <v>45933</v>
      </c>
      <c r="O53" s="120" t="s">
        <v>24</v>
      </c>
      <c r="P53" s="124" t="s">
        <v>144</v>
      </c>
    </row>
    <row r="54" spans="2:16" s="125" customFormat="1" ht="47.25" hidden="1" customHeight="1">
      <c r="B54" s="118">
        <v>58.8</v>
      </c>
      <c r="C54" s="119"/>
      <c r="D54" s="120"/>
      <c r="E54" s="120"/>
      <c r="F54" s="120" t="s">
        <v>28</v>
      </c>
      <c r="G54" s="120" t="s">
        <v>29</v>
      </c>
      <c r="H54" s="120" t="s">
        <v>36</v>
      </c>
      <c r="I54" s="120">
        <v>45924</v>
      </c>
      <c r="J54" s="126" t="s">
        <v>145</v>
      </c>
      <c r="K54" s="122"/>
      <c r="L54" s="120">
        <v>45925</v>
      </c>
      <c r="M54" s="123"/>
      <c r="N54" s="120">
        <v>45926</v>
      </c>
      <c r="O54" s="120" t="s">
        <v>24</v>
      </c>
      <c r="P54" s="124" t="s">
        <v>146</v>
      </c>
    </row>
    <row r="55" spans="2:16" ht="120">
      <c r="B55" s="118">
        <v>60</v>
      </c>
      <c r="C55" s="119"/>
      <c r="D55" s="120"/>
      <c r="E55" s="120"/>
      <c r="F55" s="120" t="s">
        <v>28</v>
      </c>
      <c r="G55" s="120" t="s">
        <v>29</v>
      </c>
      <c r="H55" s="120" t="s">
        <v>36</v>
      </c>
      <c r="I55" s="120" t="s">
        <v>147</v>
      </c>
      <c r="J55" s="121" t="s">
        <v>148</v>
      </c>
      <c r="K55" s="122"/>
      <c r="L55" s="120">
        <v>45930</v>
      </c>
      <c r="M55" s="130"/>
      <c r="N55" s="123"/>
      <c r="O55" s="120" t="s">
        <v>24</v>
      </c>
      <c r="P55" s="130" t="s">
        <v>149</v>
      </c>
    </row>
    <row r="56" spans="2:16" ht="80">
      <c r="B56" s="118">
        <v>61.2</v>
      </c>
      <c r="C56" s="119"/>
      <c r="D56" s="120"/>
      <c r="E56" s="120"/>
      <c r="F56" s="120" t="s">
        <v>28</v>
      </c>
      <c r="G56" s="120" t="s">
        <v>29</v>
      </c>
      <c r="H56" s="120" t="s">
        <v>20</v>
      </c>
      <c r="I56" s="120">
        <v>45939</v>
      </c>
      <c r="J56" s="121" t="s">
        <v>150</v>
      </c>
      <c r="K56" s="122"/>
      <c r="L56" s="120">
        <v>45945</v>
      </c>
      <c r="M56" s="130"/>
      <c r="N56" s="123"/>
      <c r="O56" s="120" t="s">
        <v>47</v>
      </c>
      <c r="P56" s="120"/>
    </row>
    <row r="57" spans="2:16" ht="20" hidden="1">
      <c r="B57" s="118">
        <v>62.4</v>
      </c>
      <c r="C57" s="119"/>
      <c r="D57" s="120"/>
      <c r="E57" s="120"/>
      <c r="F57" s="120"/>
      <c r="G57" s="120"/>
      <c r="H57" s="120"/>
      <c r="I57" s="120"/>
      <c r="J57" s="121"/>
      <c r="K57" s="122"/>
      <c r="L57" s="138"/>
      <c r="M57" s="130"/>
      <c r="N57" s="123"/>
      <c r="O57" s="120"/>
      <c r="P57" s="120"/>
    </row>
    <row r="58" spans="2:16" ht="20" hidden="1">
      <c r="B58" s="118">
        <v>63.6</v>
      </c>
      <c r="C58" s="119"/>
      <c r="D58" s="120"/>
      <c r="E58" s="120"/>
      <c r="F58" s="120"/>
      <c r="G58" s="120"/>
      <c r="H58" s="120"/>
      <c r="I58" s="120"/>
      <c r="J58" s="121"/>
      <c r="K58" s="122"/>
      <c r="L58" s="138"/>
      <c r="M58" s="130"/>
      <c r="N58" s="123"/>
      <c r="O58" s="120"/>
      <c r="P58" s="120"/>
    </row>
    <row r="59" spans="2:16" ht="20" hidden="1">
      <c r="B59" s="118">
        <v>88</v>
      </c>
    </row>
  </sheetData>
  <autoFilter ref="A5:IJ59" xr:uid="{00000000-0009-0000-0000-000000000000}">
    <filterColumn colId="14">
      <filters>
        <filter val="Open"/>
        <filter val="WIP"/>
      </filters>
    </filterColumn>
  </autoFilter>
  <mergeCells count="2">
    <mergeCell ref="B1:L4"/>
    <mergeCell ref="M1:M4"/>
  </mergeCells>
  <conditionalFormatting sqref="C6:C58">
    <cfRule type="containsText" dxfId="11" priority="4" operator="containsText" text="High">
      <formula>NOT(ISERROR(SEARCH("High",C6)))</formula>
    </cfRule>
    <cfRule type="containsText" dxfId="10" priority="5" operator="containsText" text="Medium">
      <formula>NOT(ISERROR(SEARCH("Medium",C6)))</formula>
    </cfRule>
    <cfRule type="containsText" dxfId="9" priority="6" operator="containsText" text="Low">
      <formula>NOT(ISERROR(SEARCH("Low",C6)))</formula>
    </cfRule>
  </conditionalFormatting>
  <conditionalFormatting sqref="O6:O58">
    <cfRule type="cellIs" dxfId="8" priority="1" operator="equal">
      <formula>"OPEN"</formula>
    </cfRule>
    <cfRule type="cellIs" dxfId="7" priority="2" operator="equal">
      <formula>"WIP"</formula>
    </cfRule>
    <cfRule type="cellIs" dxfId="6" priority="3" operator="equal">
      <formula>"CLOSE"</formula>
    </cfRule>
  </conditionalFormatting>
  <conditionalFormatting sqref="P55:P58">
    <cfRule type="cellIs" dxfId="5" priority="7" operator="equal">
      <formula>"OPEN"</formula>
    </cfRule>
    <cfRule type="cellIs" dxfId="4" priority="8" operator="equal">
      <formula>"WIP"</formula>
    </cfRule>
    <cfRule type="cellIs" dxfId="3" priority="9" operator="equal">
      <formula>"CLOSE"</formula>
    </cfRule>
  </conditionalFormatting>
  <dataValidations count="3">
    <dataValidation type="list" allowBlank="1" showInputMessage="1" showErrorMessage="1" sqref="O61:O1048576 O6:O59" xr:uid="{D5FE3B24-8F8F-485F-86AE-D6533DEA7A90}">
      <formula1>"Open, WIP, Close"</formula1>
    </dataValidation>
    <dataValidation type="list" allowBlank="1" showInputMessage="1" showErrorMessage="1" sqref="C6:C1048576" xr:uid="{30D917E9-2860-4A6A-9FDF-5F534D777B49}">
      <formula1>$Y$7:$Y$10</formula1>
    </dataValidation>
    <dataValidation type="list" allowBlank="1" showInputMessage="1" showErrorMessage="1" sqref="D6:D1048576" xr:uid="{81B5454F-9721-4E8D-BB4B-0811BBA67275}">
      <formula1>$AB$7:$AB$11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O88"/>
  <sheetViews>
    <sheetView showGridLines="0" showRuler="0" zoomScale="85" zoomScaleNormal="85" zoomScalePageLayoutView="70" workbookViewId="0">
      <pane xSplit="10" ySplit="6" topLeftCell="JG7" activePane="bottomRight" state="frozen"/>
      <selection pane="topRight" activeCell="J1" sqref="J1"/>
      <selection pane="bottomLeft" activeCell="A8" sqref="A8"/>
      <selection pane="bottomRight" activeCell="C91" sqref="C91"/>
    </sheetView>
  </sheetViews>
  <sheetFormatPr defaultColWidth="9.08984375" defaultRowHeight="14.5"/>
  <cols>
    <col min="1" max="1" width="11.36328125" style="5" bestFit="1" customWidth="1"/>
    <col min="2" max="2" width="9.08984375" style="5" bestFit="1" customWidth="1"/>
    <col min="3" max="3" width="38.90625" style="5" customWidth="1"/>
    <col min="4" max="4" width="16.453125" style="5" customWidth="1"/>
    <col min="5" max="5" width="14.36328125" style="5" customWidth="1"/>
    <col min="6" max="6" width="14.453125" style="11" customWidth="1"/>
    <col min="7" max="7" width="14.453125" style="5" customWidth="1"/>
    <col min="8" max="8" width="15.08984375" style="5" customWidth="1"/>
    <col min="9" max="9" width="2.6328125" style="5" customWidth="1"/>
    <col min="10" max="10" width="5.453125" style="5" customWidth="1"/>
    <col min="11" max="11" width="2.90625" style="5" bestFit="1" customWidth="1"/>
    <col min="12" max="17" width="3.08984375" style="5" bestFit="1" customWidth="1"/>
    <col min="18" max="37" width="2.453125" style="5" customWidth="1"/>
    <col min="38" max="38" width="3" style="5" bestFit="1" customWidth="1"/>
    <col min="39" max="39" width="3.08984375" style="5" bestFit="1" customWidth="1"/>
    <col min="40" max="40" width="3.453125" style="5" bestFit="1" customWidth="1"/>
    <col min="41" max="44" width="2.453125" style="5" customWidth="1"/>
    <col min="45" max="45" width="3" style="5" bestFit="1" customWidth="1"/>
    <col min="46" max="226" width="2.453125" style="5" customWidth="1"/>
    <col min="227" max="227" width="2.6328125" style="5" customWidth="1"/>
    <col min="228" max="233" width="2.453125" style="5" customWidth="1"/>
    <col min="234" max="234" width="2.6328125" style="5" customWidth="1"/>
    <col min="235" max="240" width="2.453125" style="5" customWidth="1"/>
    <col min="241" max="241" width="2.6328125" style="5" customWidth="1"/>
    <col min="242" max="247" width="2.453125" style="5" customWidth="1"/>
    <col min="248" max="248" width="2.6328125" style="5" customWidth="1"/>
    <col min="249" max="261" width="2.453125" style="5" customWidth="1"/>
    <col min="262" max="262" width="3" style="5" bestFit="1" customWidth="1"/>
    <col min="263" max="268" width="2.453125" style="5" customWidth="1"/>
    <col min="269" max="269" width="3" style="5" bestFit="1" customWidth="1"/>
    <col min="270" max="445" width="2.453125" style="5" customWidth="1"/>
    <col min="446" max="16384" width="9.08984375" style="5"/>
  </cols>
  <sheetData>
    <row r="1" spans="1:353" ht="46.5" customHeight="1" thickBot="1">
      <c r="A1" s="1"/>
      <c r="B1" s="2"/>
      <c r="C1" s="3"/>
      <c r="D1" s="4"/>
      <c r="E1" s="84"/>
      <c r="F1" s="85"/>
      <c r="G1" s="86"/>
      <c r="H1" s="86"/>
      <c r="I1" s="2"/>
      <c r="J1" s="84"/>
      <c r="K1" s="269" t="s">
        <v>151</v>
      </c>
      <c r="L1" s="270"/>
      <c r="M1" s="270"/>
      <c r="N1" s="270"/>
      <c r="O1" s="270"/>
      <c r="P1" s="270"/>
      <c r="Q1" s="270"/>
      <c r="R1" s="270"/>
      <c r="S1" s="270"/>
      <c r="T1" s="271"/>
      <c r="U1" s="38"/>
      <c r="V1" s="38"/>
      <c r="W1" s="38"/>
      <c r="X1" s="38"/>
      <c r="Y1" s="38"/>
      <c r="Z1" s="38"/>
      <c r="AA1" s="38"/>
      <c r="AB1" s="38"/>
      <c r="AC1" s="38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</row>
    <row r="2" spans="1:353" ht="19.5" customHeight="1">
      <c r="A2" s="39" t="s">
        <v>152</v>
      </c>
      <c r="B2" s="40"/>
      <c r="C2" s="40"/>
      <c r="D2" s="40"/>
      <c r="E2" s="7" t="s">
        <v>153</v>
      </c>
      <c r="F2" s="295">
        <v>45867</v>
      </c>
      <c r="G2" s="296"/>
      <c r="H2" s="8"/>
      <c r="K2" s="302" t="s">
        <v>154</v>
      </c>
      <c r="L2" s="303"/>
      <c r="M2" s="303"/>
      <c r="N2" s="303"/>
      <c r="O2" s="303"/>
      <c r="P2" s="306" t="s">
        <v>155</v>
      </c>
      <c r="Q2" s="307"/>
      <c r="R2" s="307"/>
      <c r="S2" s="307"/>
      <c r="T2" s="308"/>
    </row>
    <row r="3" spans="1:353" ht="19.5" customHeight="1" thickBot="1">
      <c r="A3" s="6" t="s">
        <v>156</v>
      </c>
      <c r="E3" s="7" t="s">
        <v>157</v>
      </c>
      <c r="F3" s="297">
        <f ca="1">TODAY()</f>
        <v>46079</v>
      </c>
      <c r="G3" s="298"/>
      <c r="H3" s="8"/>
      <c r="K3" s="304" t="s">
        <v>158</v>
      </c>
      <c r="L3" s="305"/>
      <c r="M3" s="305"/>
      <c r="N3" s="305"/>
      <c r="O3" s="305"/>
      <c r="P3" s="309" t="s">
        <v>159</v>
      </c>
      <c r="Q3" s="310"/>
      <c r="R3" s="310"/>
      <c r="S3" s="310"/>
      <c r="T3" s="311"/>
    </row>
    <row r="4" spans="1:353" ht="19.5" customHeight="1">
      <c r="A4" s="6" t="s">
        <v>160</v>
      </c>
      <c r="E4" s="7" t="s">
        <v>161</v>
      </c>
      <c r="F4" s="9">
        <v>1</v>
      </c>
      <c r="K4" s="299">
        <f>F2</f>
        <v>45867</v>
      </c>
      <c r="L4" s="300"/>
      <c r="M4" s="300"/>
      <c r="N4" s="300"/>
      <c r="O4" s="300"/>
      <c r="P4" s="300"/>
      <c r="Q4" s="301"/>
      <c r="R4" s="299">
        <f>K4+7</f>
        <v>45874</v>
      </c>
      <c r="S4" s="300"/>
      <c r="T4" s="300"/>
      <c r="U4" s="287"/>
      <c r="V4" s="287"/>
      <c r="W4" s="287"/>
      <c r="X4" s="288"/>
      <c r="Y4" s="286">
        <f>R4+7</f>
        <v>45881</v>
      </c>
      <c r="Z4" s="287"/>
      <c r="AA4" s="287"/>
      <c r="AB4" s="287"/>
      <c r="AC4" s="287"/>
      <c r="AD4" s="287"/>
      <c r="AE4" s="288"/>
      <c r="AF4" s="286">
        <f t="shared" ref="AF4" si="0">Y4+7</f>
        <v>45888</v>
      </c>
      <c r="AG4" s="287"/>
      <c r="AH4" s="287"/>
      <c r="AI4" s="287"/>
      <c r="AJ4" s="287"/>
      <c r="AK4" s="287"/>
      <c r="AL4" s="288"/>
      <c r="AM4" s="286">
        <f t="shared" ref="AM4" si="1">AF4+7</f>
        <v>45895</v>
      </c>
      <c r="AN4" s="287"/>
      <c r="AO4" s="287"/>
      <c r="AP4" s="287"/>
      <c r="AQ4" s="287"/>
      <c r="AR4" s="287"/>
      <c r="AS4" s="288"/>
      <c r="AT4" s="286">
        <f>AM4+7</f>
        <v>45902</v>
      </c>
      <c r="AU4" s="287"/>
      <c r="AV4" s="287"/>
      <c r="AW4" s="287"/>
      <c r="AX4" s="287"/>
      <c r="AY4" s="287"/>
      <c r="AZ4" s="288"/>
      <c r="BA4" s="286">
        <f t="shared" ref="BA4" si="2">AT4+7</f>
        <v>45909</v>
      </c>
      <c r="BB4" s="287"/>
      <c r="BC4" s="287"/>
      <c r="BD4" s="287"/>
      <c r="BE4" s="287"/>
      <c r="BF4" s="287"/>
      <c r="BG4" s="288"/>
      <c r="BH4" s="286">
        <f t="shared" ref="BH4" si="3">BA4+7</f>
        <v>45916</v>
      </c>
      <c r="BI4" s="287"/>
      <c r="BJ4" s="287"/>
      <c r="BK4" s="287"/>
      <c r="BL4" s="287"/>
      <c r="BM4" s="287"/>
      <c r="BN4" s="288"/>
      <c r="BO4" s="286">
        <f t="shared" ref="BO4" si="4">BH4+7</f>
        <v>45923</v>
      </c>
      <c r="BP4" s="287"/>
      <c r="BQ4" s="287"/>
      <c r="BR4" s="287"/>
      <c r="BS4" s="287"/>
      <c r="BT4" s="287"/>
      <c r="BU4" s="288"/>
      <c r="BV4" s="286">
        <f t="shared" ref="BV4" si="5">BO4+7</f>
        <v>45930</v>
      </c>
      <c r="BW4" s="287"/>
      <c r="BX4" s="287"/>
      <c r="BY4" s="287"/>
      <c r="BZ4" s="287"/>
      <c r="CA4" s="287"/>
      <c r="CB4" s="288"/>
      <c r="CC4" s="286">
        <f t="shared" ref="CC4" si="6">BV4+7</f>
        <v>45937</v>
      </c>
      <c r="CD4" s="287"/>
      <c r="CE4" s="287"/>
      <c r="CF4" s="287"/>
      <c r="CG4" s="287"/>
      <c r="CH4" s="287"/>
      <c r="CI4" s="288"/>
      <c r="CJ4" s="286">
        <f t="shared" ref="CJ4" si="7">CC4+7</f>
        <v>45944</v>
      </c>
      <c r="CK4" s="287"/>
      <c r="CL4" s="287"/>
      <c r="CM4" s="287"/>
      <c r="CN4" s="287"/>
      <c r="CO4" s="287"/>
      <c r="CP4" s="288"/>
      <c r="CQ4" s="286">
        <f t="shared" ref="CQ4" si="8">CJ4+7</f>
        <v>45951</v>
      </c>
      <c r="CR4" s="287"/>
      <c r="CS4" s="287"/>
      <c r="CT4" s="287"/>
      <c r="CU4" s="287"/>
      <c r="CV4" s="287"/>
      <c r="CW4" s="288"/>
      <c r="CX4" s="286">
        <f t="shared" ref="CX4" si="9">CQ4+7</f>
        <v>45958</v>
      </c>
      <c r="CY4" s="287"/>
      <c r="CZ4" s="287"/>
      <c r="DA4" s="287"/>
      <c r="DB4" s="287"/>
      <c r="DC4" s="287"/>
      <c r="DD4" s="288"/>
      <c r="DE4" s="286">
        <f t="shared" ref="DE4" si="10">CX4+7</f>
        <v>45965</v>
      </c>
      <c r="DF4" s="287"/>
      <c r="DG4" s="287"/>
      <c r="DH4" s="287"/>
      <c r="DI4" s="287"/>
      <c r="DJ4" s="287"/>
      <c r="DK4" s="288"/>
      <c r="DL4" s="286">
        <f>DE4+7</f>
        <v>45972</v>
      </c>
      <c r="DM4" s="287"/>
      <c r="DN4" s="287"/>
      <c r="DO4" s="287"/>
      <c r="DP4" s="287"/>
      <c r="DQ4" s="287"/>
      <c r="DR4" s="288"/>
      <c r="DS4" s="286">
        <f>DL4+7</f>
        <v>45979</v>
      </c>
      <c r="DT4" s="287"/>
      <c r="DU4" s="287"/>
      <c r="DV4" s="287"/>
      <c r="DW4" s="287"/>
      <c r="DX4" s="287"/>
      <c r="DY4" s="288"/>
      <c r="DZ4" s="286">
        <f t="shared" ref="DZ4" si="11">DS4+7</f>
        <v>45986</v>
      </c>
      <c r="EA4" s="287"/>
      <c r="EB4" s="287"/>
      <c r="EC4" s="287"/>
      <c r="ED4" s="287"/>
      <c r="EE4" s="287"/>
      <c r="EF4" s="288"/>
      <c r="EG4" s="286">
        <f t="shared" ref="EG4" si="12">DZ4+7</f>
        <v>45993</v>
      </c>
      <c r="EH4" s="287"/>
      <c r="EI4" s="287"/>
      <c r="EJ4" s="287"/>
      <c r="EK4" s="287"/>
      <c r="EL4" s="287"/>
      <c r="EM4" s="288"/>
      <c r="EN4" s="286">
        <f t="shared" ref="EN4" si="13">EG4+7</f>
        <v>46000</v>
      </c>
      <c r="EO4" s="287"/>
      <c r="EP4" s="287"/>
      <c r="EQ4" s="287"/>
      <c r="ER4" s="287"/>
      <c r="ES4" s="287"/>
      <c r="ET4" s="288"/>
      <c r="EU4" s="286">
        <f t="shared" ref="EU4" si="14">EN4+7</f>
        <v>46007</v>
      </c>
      <c r="EV4" s="287"/>
      <c r="EW4" s="287"/>
      <c r="EX4" s="287"/>
      <c r="EY4" s="287"/>
      <c r="EZ4" s="287"/>
      <c r="FA4" s="288"/>
      <c r="FB4" s="286">
        <f t="shared" ref="FB4" si="15">EU4+7</f>
        <v>46014</v>
      </c>
      <c r="FC4" s="287"/>
      <c r="FD4" s="287"/>
      <c r="FE4" s="287"/>
      <c r="FF4" s="287"/>
      <c r="FG4" s="287"/>
      <c r="FH4" s="288"/>
      <c r="FI4" s="286">
        <f t="shared" ref="FI4" si="16">FB4+7</f>
        <v>46021</v>
      </c>
      <c r="FJ4" s="287"/>
      <c r="FK4" s="287"/>
      <c r="FL4" s="287"/>
      <c r="FM4" s="287"/>
      <c r="FN4" s="287"/>
      <c r="FO4" s="288"/>
      <c r="FP4" s="286">
        <f t="shared" ref="FP4" si="17">FI4+7</f>
        <v>46028</v>
      </c>
      <c r="FQ4" s="287"/>
      <c r="FR4" s="287"/>
      <c r="FS4" s="287"/>
      <c r="FT4" s="287"/>
      <c r="FU4" s="287"/>
      <c r="FV4" s="288"/>
      <c r="FW4" s="286">
        <f t="shared" ref="FW4" si="18">FP4+7</f>
        <v>46035</v>
      </c>
      <c r="FX4" s="287"/>
      <c r="FY4" s="287"/>
      <c r="FZ4" s="287"/>
      <c r="GA4" s="287"/>
      <c r="GB4" s="287"/>
      <c r="GC4" s="288"/>
      <c r="GD4" s="286">
        <f t="shared" ref="GD4" si="19">FW4+7</f>
        <v>46042</v>
      </c>
      <c r="GE4" s="287"/>
      <c r="GF4" s="287"/>
      <c r="GG4" s="287"/>
      <c r="GH4" s="287"/>
      <c r="GI4" s="287"/>
      <c r="GJ4" s="288"/>
      <c r="GK4" s="286">
        <f t="shared" ref="GK4" si="20">GD4+7</f>
        <v>46049</v>
      </c>
      <c r="GL4" s="287"/>
      <c r="GM4" s="287"/>
      <c r="GN4" s="287"/>
      <c r="GO4" s="287"/>
      <c r="GP4" s="287"/>
      <c r="GQ4" s="288"/>
      <c r="GR4" s="286">
        <f t="shared" ref="GR4" si="21">GK4+7</f>
        <v>46056</v>
      </c>
      <c r="GS4" s="287"/>
      <c r="GT4" s="287"/>
      <c r="GU4" s="287"/>
      <c r="GV4" s="287"/>
      <c r="GW4" s="287"/>
      <c r="GX4" s="288"/>
      <c r="GY4" s="286">
        <f t="shared" ref="GY4" si="22">GR4+7</f>
        <v>46063</v>
      </c>
      <c r="GZ4" s="287"/>
      <c r="HA4" s="287"/>
      <c r="HB4" s="287"/>
      <c r="HC4" s="287"/>
      <c r="HD4" s="287"/>
      <c r="HE4" s="288"/>
      <c r="HF4" s="286">
        <f t="shared" ref="HF4" si="23">GY4+7</f>
        <v>46070</v>
      </c>
      <c r="HG4" s="287"/>
      <c r="HH4" s="287"/>
      <c r="HI4" s="287"/>
      <c r="HJ4" s="287"/>
      <c r="HK4" s="287"/>
      <c r="HL4" s="288"/>
      <c r="HM4" s="286">
        <f t="shared" ref="HM4" si="24">HF4+7</f>
        <v>46077</v>
      </c>
      <c r="HN4" s="287"/>
      <c r="HO4" s="287"/>
      <c r="HP4" s="287"/>
      <c r="HQ4" s="287"/>
      <c r="HR4" s="287"/>
      <c r="HS4" s="288"/>
      <c r="HT4" s="286">
        <f t="shared" ref="HT4" si="25">HM4+7</f>
        <v>46084</v>
      </c>
      <c r="HU4" s="287"/>
      <c r="HV4" s="287"/>
      <c r="HW4" s="287"/>
      <c r="HX4" s="287"/>
      <c r="HY4" s="287"/>
      <c r="HZ4" s="288"/>
      <c r="IA4" s="286">
        <f t="shared" ref="IA4" si="26">HT4+7</f>
        <v>46091</v>
      </c>
      <c r="IB4" s="287"/>
      <c r="IC4" s="287"/>
      <c r="ID4" s="287"/>
      <c r="IE4" s="287"/>
      <c r="IF4" s="287"/>
      <c r="IG4" s="288"/>
      <c r="IH4" s="286">
        <f t="shared" ref="IH4" si="27">IA4+7</f>
        <v>46098</v>
      </c>
      <c r="II4" s="287"/>
      <c r="IJ4" s="287"/>
      <c r="IK4" s="287"/>
      <c r="IL4" s="287"/>
      <c r="IM4" s="287"/>
      <c r="IN4" s="288"/>
      <c r="IO4" s="286">
        <f>IH4+7</f>
        <v>46105</v>
      </c>
      <c r="IP4" s="287"/>
      <c r="IQ4" s="287"/>
      <c r="IR4" s="287"/>
      <c r="IS4" s="287"/>
      <c r="IT4" s="287"/>
      <c r="IU4" s="288"/>
      <c r="IV4" s="286">
        <f t="shared" ref="IV4" si="28">IO4+7</f>
        <v>46112</v>
      </c>
      <c r="IW4" s="287"/>
      <c r="IX4" s="287"/>
      <c r="IY4" s="287"/>
      <c r="IZ4" s="287"/>
      <c r="JA4" s="287"/>
      <c r="JB4" s="288"/>
      <c r="JC4" s="286">
        <f t="shared" ref="JC4" si="29">IV4+7</f>
        <v>46119</v>
      </c>
      <c r="JD4" s="287"/>
      <c r="JE4" s="287"/>
      <c r="JF4" s="287"/>
      <c r="JG4" s="287"/>
      <c r="JH4" s="287"/>
      <c r="JI4" s="288"/>
      <c r="JJ4" s="286">
        <f>JC4+7</f>
        <v>46126</v>
      </c>
      <c r="JK4" s="287"/>
      <c r="JL4" s="287"/>
      <c r="JM4" s="287"/>
      <c r="JN4" s="287"/>
      <c r="JO4" s="287"/>
      <c r="JP4" s="288"/>
      <c r="JQ4" s="286">
        <f t="shared" ref="JQ4" si="30">JJ4+7</f>
        <v>46133</v>
      </c>
      <c r="JR4" s="287"/>
      <c r="JS4" s="287"/>
      <c r="JT4" s="287"/>
      <c r="JU4" s="287"/>
      <c r="JV4" s="287"/>
      <c r="JW4" s="288"/>
      <c r="JX4" s="286">
        <f t="shared" ref="JX4" si="31">JQ4+7</f>
        <v>46140</v>
      </c>
      <c r="JY4" s="287"/>
      <c r="JZ4" s="287"/>
      <c r="KA4" s="287"/>
      <c r="KB4" s="287"/>
      <c r="KC4" s="287"/>
      <c r="KD4" s="288"/>
      <c r="KE4" s="286">
        <f t="shared" ref="KE4" si="32">JX4+7</f>
        <v>46147</v>
      </c>
      <c r="KF4" s="287"/>
      <c r="KG4" s="287"/>
      <c r="KH4" s="287"/>
      <c r="KI4" s="287"/>
      <c r="KJ4" s="287"/>
      <c r="KK4" s="288"/>
      <c r="KL4" s="286">
        <f t="shared" ref="KL4" si="33">KE4+7</f>
        <v>46154</v>
      </c>
      <c r="KM4" s="287"/>
      <c r="KN4" s="287"/>
      <c r="KO4" s="287"/>
      <c r="KP4" s="287"/>
      <c r="KQ4" s="287"/>
      <c r="KR4" s="288"/>
      <c r="KS4" s="286">
        <f t="shared" ref="KS4" si="34">KL4+7</f>
        <v>46161</v>
      </c>
      <c r="KT4" s="287"/>
      <c r="KU4" s="287"/>
      <c r="KV4" s="287"/>
      <c r="KW4" s="287"/>
      <c r="KX4" s="287"/>
      <c r="KY4" s="288"/>
      <c r="KZ4" s="286">
        <f t="shared" ref="KZ4" si="35">KS4+7</f>
        <v>46168</v>
      </c>
      <c r="LA4" s="287"/>
      <c r="LB4" s="287"/>
      <c r="LC4" s="287"/>
      <c r="LD4" s="287"/>
      <c r="LE4" s="287"/>
      <c r="LF4" s="288"/>
      <c r="LG4" s="286">
        <f t="shared" ref="LG4" si="36">KZ4+7</f>
        <v>46175</v>
      </c>
      <c r="LH4" s="287"/>
      <c r="LI4" s="287"/>
      <c r="LJ4" s="287"/>
      <c r="LK4" s="287"/>
      <c r="LL4" s="287"/>
      <c r="LM4" s="288"/>
      <c r="LN4" s="286">
        <f t="shared" ref="LN4" si="37">LG4+7</f>
        <v>46182</v>
      </c>
      <c r="LO4" s="287"/>
      <c r="LP4" s="287"/>
      <c r="LQ4" s="287"/>
      <c r="LR4" s="287"/>
      <c r="LS4" s="287"/>
      <c r="LT4" s="288"/>
      <c r="LU4" s="286">
        <f t="shared" ref="LU4" si="38">LN4+7</f>
        <v>46189</v>
      </c>
      <c r="LV4" s="287"/>
      <c r="LW4" s="287"/>
      <c r="LX4" s="287"/>
      <c r="LY4" s="287"/>
      <c r="LZ4" s="287"/>
      <c r="MA4" s="288"/>
      <c r="MB4" s="286">
        <f>LU4+7</f>
        <v>46196</v>
      </c>
      <c r="MC4" s="287"/>
      <c r="MD4" s="287"/>
      <c r="ME4" s="287"/>
      <c r="MF4" s="287"/>
      <c r="MG4" s="287"/>
      <c r="MH4" s="288"/>
      <c r="MI4" s="287"/>
      <c r="MJ4" s="287"/>
      <c r="MK4" s="287"/>
      <c r="ML4" s="287"/>
      <c r="MM4" s="287"/>
      <c r="MN4" s="287"/>
      <c r="MO4" s="288"/>
    </row>
    <row r="5" spans="1:353" ht="15" thickBot="1">
      <c r="A5" s="10"/>
      <c r="B5" s="7"/>
      <c r="I5" s="7"/>
      <c r="K5" s="12">
        <f>F2-WEEKDAY(F2,1)+2+7*(F4-1)</f>
        <v>45866</v>
      </c>
      <c r="L5" s="13">
        <f>K5+1</f>
        <v>45867</v>
      </c>
      <c r="M5" s="13">
        <f t="shared" ref="M5:AZ5" si="39">L5+1</f>
        <v>45868</v>
      </c>
      <c r="N5" s="13">
        <f t="shared" si="39"/>
        <v>45869</v>
      </c>
      <c r="O5" s="13">
        <f t="shared" si="39"/>
        <v>45870</v>
      </c>
      <c r="P5" s="13">
        <f t="shared" si="39"/>
        <v>45871</v>
      </c>
      <c r="Q5" s="14">
        <f t="shared" si="39"/>
        <v>45872</v>
      </c>
      <c r="R5" s="12">
        <f>Q5+1</f>
        <v>45873</v>
      </c>
      <c r="S5" s="13">
        <f>R5+1</f>
        <v>45874</v>
      </c>
      <c r="T5" s="13">
        <f t="shared" si="39"/>
        <v>45875</v>
      </c>
      <c r="U5" s="13">
        <f t="shared" si="39"/>
        <v>45876</v>
      </c>
      <c r="V5" s="13">
        <f t="shared" si="39"/>
        <v>45877</v>
      </c>
      <c r="W5" s="13">
        <f t="shared" si="39"/>
        <v>45878</v>
      </c>
      <c r="X5" s="14">
        <f t="shared" si="39"/>
        <v>45879</v>
      </c>
      <c r="Y5" s="12">
        <f>X5+1</f>
        <v>45880</v>
      </c>
      <c r="Z5" s="13">
        <f>Y5+1</f>
        <v>45881</v>
      </c>
      <c r="AA5" s="13">
        <f t="shared" si="39"/>
        <v>45882</v>
      </c>
      <c r="AB5" s="13">
        <f t="shared" si="39"/>
        <v>45883</v>
      </c>
      <c r="AC5" s="13">
        <f t="shared" si="39"/>
        <v>45884</v>
      </c>
      <c r="AD5" s="13">
        <f t="shared" si="39"/>
        <v>45885</v>
      </c>
      <c r="AE5" s="14">
        <f t="shared" si="39"/>
        <v>45886</v>
      </c>
      <c r="AF5" s="12">
        <f>AE5+1</f>
        <v>45887</v>
      </c>
      <c r="AG5" s="13">
        <f>AF5+1</f>
        <v>45888</v>
      </c>
      <c r="AH5" s="13">
        <f t="shared" si="39"/>
        <v>45889</v>
      </c>
      <c r="AI5" s="13">
        <f t="shared" si="39"/>
        <v>45890</v>
      </c>
      <c r="AJ5" s="13">
        <f t="shared" si="39"/>
        <v>45891</v>
      </c>
      <c r="AK5" s="13">
        <f t="shared" si="39"/>
        <v>45892</v>
      </c>
      <c r="AL5" s="14">
        <f t="shared" si="39"/>
        <v>45893</v>
      </c>
      <c r="AM5" s="12">
        <f>AL5+1</f>
        <v>45894</v>
      </c>
      <c r="AN5" s="13">
        <f>AM5+1</f>
        <v>45895</v>
      </c>
      <c r="AO5" s="13">
        <f t="shared" si="39"/>
        <v>45896</v>
      </c>
      <c r="AP5" s="13">
        <f t="shared" si="39"/>
        <v>45897</v>
      </c>
      <c r="AQ5" s="13">
        <f t="shared" si="39"/>
        <v>45898</v>
      </c>
      <c r="AR5" s="13">
        <f>AQ5+1</f>
        <v>45899</v>
      </c>
      <c r="AS5" s="14">
        <f t="shared" si="39"/>
        <v>45900</v>
      </c>
      <c r="AT5" s="12">
        <f>AS5+1</f>
        <v>45901</v>
      </c>
      <c r="AU5" s="13">
        <f>AT5+1</f>
        <v>45902</v>
      </c>
      <c r="AV5" s="13">
        <f t="shared" si="39"/>
        <v>45903</v>
      </c>
      <c r="AW5" s="13">
        <f t="shared" si="39"/>
        <v>45904</v>
      </c>
      <c r="AX5" s="13">
        <f t="shared" si="39"/>
        <v>45905</v>
      </c>
      <c r="AY5" s="13">
        <f t="shared" si="39"/>
        <v>45906</v>
      </c>
      <c r="AZ5" s="14">
        <f t="shared" si="39"/>
        <v>45907</v>
      </c>
      <c r="BA5" s="12">
        <f>AZ5+1</f>
        <v>45908</v>
      </c>
      <c r="BB5" s="13">
        <f>BA5+1</f>
        <v>45909</v>
      </c>
      <c r="BC5" s="13">
        <f t="shared" ref="BC5:BG5" si="40">BB5+1</f>
        <v>45910</v>
      </c>
      <c r="BD5" s="13">
        <f t="shared" si="40"/>
        <v>45911</v>
      </c>
      <c r="BE5" s="13">
        <f t="shared" si="40"/>
        <v>45912</v>
      </c>
      <c r="BF5" s="13">
        <f t="shared" si="40"/>
        <v>45913</v>
      </c>
      <c r="BG5" s="14">
        <f t="shared" si="40"/>
        <v>45914</v>
      </c>
      <c r="BH5" s="12">
        <f>BG5+1</f>
        <v>45915</v>
      </c>
      <c r="BI5" s="13">
        <f>BH5+1</f>
        <v>45916</v>
      </c>
      <c r="BJ5" s="13">
        <f t="shared" ref="BJ5:BN5" si="41">BI5+1</f>
        <v>45917</v>
      </c>
      <c r="BK5" s="13">
        <f t="shared" si="41"/>
        <v>45918</v>
      </c>
      <c r="BL5" s="13">
        <f t="shared" si="41"/>
        <v>45919</v>
      </c>
      <c r="BM5" s="13">
        <f t="shared" si="41"/>
        <v>45920</v>
      </c>
      <c r="BN5" s="14">
        <f t="shared" si="41"/>
        <v>45921</v>
      </c>
      <c r="BO5" s="12">
        <f>BN5+1</f>
        <v>45922</v>
      </c>
      <c r="BP5" s="13">
        <f>BO5+1</f>
        <v>45923</v>
      </c>
      <c r="BQ5" s="13">
        <f t="shared" ref="BQ5:BU5" si="42">BP5+1</f>
        <v>45924</v>
      </c>
      <c r="BR5" s="13">
        <f t="shared" si="42"/>
        <v>45925</v>
      </c>
      <c r="BS5" s="13">
        <f t="shared" si="42"/>
        <v>45926</v>
      </c>
      <c r="BT5" s="13">
        <f t="shared" si="42"/>
        <v>45927</v>
      </c>
      <c r="BU5" s="14">
        <f t="shared" si="42"/>
        <v>45928</v>
      </c>
      <c r="BV5" s="12">
        <f>BU5+1</f>
        <v>45929</v>
      </c>
      <c r="BW5" s="13">
        <f>BV5+1</f>
        <v>45930</v>
      </c>
      <c r="BX5" s="13">
        <f t="shared" ref="BX5:CB5" si="43">BW5+1</f>
        <v>45931</v>
      </c>
      <c r="BY5" s="13">
        <f t="shared" si="43"/>
        <v>45932</v>
      </c>
      <c r="BZ5" s="13">
        <f t="shared" si="43"/>
        <v>45933</v>
      </c>
      <c r="CA5" s="13">
        <f t="shared" si="43"/>
        <v>45934</v>
      </c>
      <c r="CB5" s="14">
        <f t="shared" si="43"/>
        <v>45935</v>
      </c>
      <c r="CC5" s="12">
        <f>CB5+1</f>
        <v>45936</v>
      </c>
      <c r="CD5" s="13">
        <f>CC5+1</f>
        <v>45937</v>
      </c>
      <c r="CE5" s="13">
        <f t="shared" ref="CE5:CI5" si="44">CD5+1</f>
        <v>45938</v>
      </c>
      <c r="CF5" s="13">
        <f t="shared" si="44"/>
        <v>45939</v>
      </c>
      <c r="CG5" s="13">
        <f t="shared" si="44"/>
        <v>45940</v>
      </c>
      <c r="CH5" s="13">
        <f t="shared" si="44"/>
        <v>45941</v>
      </c>
      <c r="CI5" s="14">
        <f t="shared" si="44"/>
        <v>45942</v>
      </c>
      <c r="CJ5" s="12">
        <f>CI5+1</f>
        <v>45943</v>
      </c>
      <c r="CK5" s="13">
        <f>CJ5+1</f>
        <v>45944</v>
      </c>
      <c r="CL5" s="13">
        <f t="shared" ref="CL5:CP5" si="45">CK5+1</f>
        <v>45945</v>
      </c>
      <c r="CM5" s="13">
        <f t="shared" si="45"/>
        <v>45946</v>
      </c>
      <c r="CN5" s="13">
        <f t="shared" si="45"/>
        <v>45947</v>
      </c>
      <c r="CO5" s="13">
        <f t="shared" si="45"/>
        <v>45948</v>
      </c>
      <c r="CP5" s="14">
        <f t="shared" si="45"/>
        <v>45949</v>
      </c>
      <c r="CQ5" s="12">
        <f>CP5+1</f>
        <v>45950</v>
      </c>
      <c r="CR5" s="13">
        <f>CQ5+1</f>
        <v>45951</v>
      </c>
      <c r="CS5" s="13">
        <f t="shared" ref="CS5:CW5" si="46">CR5+1</f>
        <v>45952</v>
      </c>
      <c r="CT5" s="13">
        <f t="shared" si="46"/>
        <v>45953</v>
      </c>
      <c r="CU5" s="13">
        <f t="shared" si="46"/>
        <v>45954</v>
      </c>
      <c r="CV5" s="13">
        <f t="shared" si="46"/>
        <v>45955</v>
      </c>
      <c r="CW5" s="14">
        <f t="shared" si="46"/>
        <v>45956</v>
      </c>
      <c r="CX5" s="12">
        <f>CW5+1</f>
        <v>45957</v>
      </c>
      <c r="CY5" s="13">
        <f>CX5+1</f>
        <v>45958</v>
      </c>
      <c r="CZ5" s="13">
        <f t="shared" ref="CZ5:DD5" si="47">CY5+1</f>
        <v>45959</v>
      </c>
      <c r="DA5" s="13">
        <f t="shared" si="47"/>
        <v>45960</v>
      </c>
      <c r="DB5" s="13">
        <f t="shared" si="47"/>
        <v>45961</v>
      </c>
      <c r="DC5" s="13">
        <f t="shared" si="47"/>
        <v>45962</v>
      </c>
      <c r="DD5" s="14">
        <f t="shared" si="47"/>
        <v>45963</v>
      </c>
      <c r="DE5" s="12">
        <f>DD5+1</f>
        <v>45964</v>
      </c>
      <c r="DF5" s="13">
        <f>DE5+1</f>
        <v>45965</v>
      </c>
      <c r="DG5" s="13">
        <f t="shared" ref="DG5:DK5" si="48">DF5+1</f>
        <v>45966</v>
      </c>
      <c r="DH5" s="13">
        <f t="shared" si="48"/>
        <v>45967</v>
      </c>
      <c r="DI5" s="13">
        <f t="shared" si="48"/>
        <v>45968</v>
      </c>
      <c r="DJ5" s="13">
        <f t="shared" si="48"/>
        <v>45969</v>
      </c>
      <c r="DK5" s="14">
        <f t="shared" si="48"/>
        <v>45970</v>
      </c>
      <c r="DL5" s="12">
        <f>DK5+1</f>
        <v>45971</v>
      </c>
      <c r="DM5" s="13">
        <f>DL5+1</f>
        <v>45972</v>
      </c>
      <c r="DN5" s="13">
        <f t="shared" ref="DN5:DR5" si="49">DM5+1</f>
        <v>45973</v>
      </c>
      <c r="DO5" s="13">
        <f t="shared" si="49"/>
        <v>45974</v>
      </c>
      <c r="DP5" s="13">
        <f t="shared" si="49"/>
        <v>45975</v>
      </c>
      <c r="DQ5" s="13">
        <f t="shared" si="49"/>
        <v>45976</v>
      </c>
      <c r="DR5" s="14">
        <f t="shared" si="49"/>
        <v>45977</v>
      </c>
      <c r="DS5" s="12">
        <f>DR5+1</f>
        <v>45978</v>
      </c>
      <c r="DT5" s="13">
        <f>DS5+1</f>
        <v>45979</v>
      </c>
      <c r="DU5" s="13">
        <f t="shared" ref="DU5:EM5" si="50">DT5+1</f>
        <v>45980</v>
      </c>
      <c r="DV5" s="13">
        <f t="shared" si="50"/>
        <v>45981</v>
      </c>
      <c r="DW5" s="13">
        <f t="shared" si="50"/>
        <v>45982</v>
      </c>
      <c r="DX5" s="13">
        <f t="shared" si="50"/>
        <v>45983</v>
      </c>
      <c r="DY5" s="14">
        <f t="shared" si="50"/>
        <v>45984</v>
      </c>
      <c r="DZ5" s="14">
        <f t="shared" si="50"/>
        <v>45985</v>
      </c>
      <c r="EA5" s="14">
        <f t="shared" si="50"/>
        <v>45986</v>
      </c>
      <c r="EB5" s="14">
        <f t="shared" si="50"/>
        <v>45987</v>
      </c>
      <c r="EC5" s="14">
        <f t="shared" si="50"/>
        <v>45988</v>
      </c>
      <c r="ED5" s="14">
        <f t="shared" si="50"/>
        <v>45989</v>
      </c>
      <c r="EE5" s="14">
        <f t="shared" si="50"/>
        <v>45990</v>
      </c>
      <c r="EF5" s="14">
        <f t="shared" si="50"/>
        <v>45991</v>
      </c>
      <c r="EG5" s="14">
        <f t="shared" si="50"/>
        <v>45992</v>
      </c>
      <c r="EH5" s="14">
        <f t="shared" si="50"/>
        <v>45993</v>
      </c>
      <c r="EI5" s="14">
        <f t="shared" si="50"/>
        <v>45994</v>
      </c>
      <c r="EJ5" s="14">
        <f t="shared" si="50"/>
        <v>45995</v>
      </c>
      <c r="EK5" s="14">
        <f t="shared" si="50"/>
        <v>45996</v>
      </c>
      <c r="EL5" s="14">
        <f t="shared" si="50"/>
        <v>45997</v>
      </c>
      <c r="EM5" s="14">
        <f t="shared" si="50"/>
        <v>45998</v>
      </c>
      <c r="EN5" s="12">
        <f>EF5+1</f>
        <v>45992</v>
      </c>
      <c r="EO5" s="13">
        <f>EN5+1</f>
        <v>45993</v>
      </c>
      <c r="EP5" s="13">
        <f t="shared" ref="EP5:ET5" si="51">EO5+1</f>
        <v>45994</v>
      </c>
      <c r="EQ5" s="13">
        <f t="shared" si="51"/>
        <v>45995</v>
      </c>
      <c r="ER5" s="13">
        <f t="shared" si="51"/>
        <v>45996</v>
      </c>
      <c r="ES5" s="13">
        <f t="shared" si="51"/>
        <v>45997</v>
      </c>
      <c r="ET5" s="14">
        <f t="shared" si="51"/>
        <v>45998</v>
      </c>
      <c r="EU5" s="12">
        <f>ET5+1</f>
        <v>45999</v>
      </c>
      <c r="EV5" s="13">
        <f>EU5+1</f>
        <v>46000</v>
      </c>
      <c r="EW5" s="13">
        <f t="shared" ref="EW5:FA5" si="52">EV5+1</f>
        <v>46001</v>
      </c>
      <c r="EX5" s="13">
        <f t="shared" si="52"/>
        <v>46002</v>
      </c>
      <c r="EY5" s="13">
        <f t="shared" si="52"/>
        <v>46003</v>
      </c>
      <c r="EZ5" s="13">
        <f t="shared" si="52"/>
        <v>46004</v>
      </c>
      <c r="FA5" s="14">
        <f t="shared" si="52"/>
        <v>46005</v>
      </c>
      <c r="FB5" s="12">
        <f>FA5+1</f>
        <v>46006</v>
      </c>
      <c r="FC5" s="13">
        <f>FB5+1</f>
        <v>46007</v>
      </c>
      <c r="FD5" s="13">
        <f t="shared" ref="FD5:FH5" si="53">FC5+1</f>
        <v>46008</v>
      </c>
      <c r="FE5" s="13">
        <f t="shared" si="53"/>
        <v>46009</v>
      </c>
      <c r="FF5" s="13">
        <f t="shared" si="53"/>
        <v>46010</v>
      </c>
      <c r="FG5" s="13">
        <f t="shared" si="53"/>
        <v>46011</v>
      </c>
      <c r="FH5" s="14">
        <f t="shared" si="53"/>
        <v>46012</v>
      </c>
      <c r="FI5" s="12">
        <f>FH5+1</f>
        <v>46013</v>
      </c>
      <c r="FJ5" s="13">
        <f>FI5+1</f>
        <v>46014</v>
      </c>
      <c r="FK5" s="13">
        <f t="shared" ref="FK5:FO5" si="54">FJ5+1</f>
        <v>46015</v>
      </c>
      <c r="FL5" s="13">
        <f t="shared" si="54"/>
        <v>46016</v>
      </c>
      <c r="FM5" s="13">
        <f t="shared" si="54"/>
        <v>46017</v>
      </c>
      <c r="FN5" s="13">
        <f t="shared" si="54"/>
        <v>46018</v>
      </c>
      <c r="FO5" s="14">
        <f t="shared" si="54"/>
        <v>46019</v>
      </c>
      <c r="FP5" s="12">
        <f>FO5+1</f>
        <v>46020</v>
      </c>
      <c r="FQ5" s="13">
        <f>FP5+1</f>
        <v>46021</v>
      </c>
      <c r="FR5" s="13">
        <f t="shared" ref="FR5:FV5" si="55">FQ5+1</f>
        <v>46022</v>
      </c>
      <c r="FS5" s="13">
        <f t="shared" si="55"/>
        <v>46023</v>
      </c>
      <c r="FT5" s="13">
        <f t="shared" si="55"/>
        <v>46024</v>
      </c>
      <c r="FU5" s="13">
        <f t="shared" si="55"/>
        <v>46025</v>
      </c>
      <c r="FV5" s="14">
        <f t="shared" si="55"/>
        <v>46026</v>
      </c>
      <c r="FW5" s="12">
        <f>FV5+1</f>
        <v>46027</v>
      </c>
      <c r="FX5" s="13">
        <f>FW5+1</f>
        <v>46028</v>
      </c>
      <c r="FY5" s="13">
        <f t="shared" ref="FY5:GC5" si="56">FX5+1</f>
        <v>46029</v>
      </c>
      <c r="FZ5" s="13">
        <f t="shared" si="56"/>
        <v>46030</v>
      </c>
      <c r="GA5" s="13">
        <f t="shared" si="56"/>
        <v>46031</v>
      </c>
      <c r="GB5" s="13">
        <f t="shared" si="56"/>
        <v>46032</v>
      </c>
      <c r="GC5" s="14">
        <f t="shared" si="56"/>
        <v>46033</v>
      </c>
      <c r="GD5" s="12">
        <f>GC5+1</f>
        <v>46034</v>
      </c>
      <c r="GE5" s="13">
        <f>GD5+1</f>
        <v>46035</v>
      </c>
      <c r="GF5" s="13">
        <f t="shared" ref="GF5:GJ5" si="57">GE5+1</f>
        <v>46036</v>
      </c>
      <c r="GG5" s="13">
        <f t="shared" si="57"/>
        <v>46037</v>
      </c>
      <c r="GH5" s="13">
        <f t="shared" si="57"/>
        <v>46038</v>
      </c>
      <c r="GI5" s="13">
        <f t="shared" si="57"/>
        <v>46039</v>
      </c>
      <c r="GJ5" s="14">
        <f t="shared" si="57"/>
        <v>46040</v>
      </c>
      <c r="GK5" s="12">
        <f>GJ5+1</f>
        <v>46041</v>
      </c>
      <c r="GL5" s="13">
        <f>GK5+1</f>
        <v>46042</v>
      </c>
      <c r="GM5" s="13">
        <f t="shared" ref="GM5:GQ5" si="58">GL5+1</f>
        <v>46043</v>
      </c>
      <c r="GN5" s="13">
        <f t="shared" si="58"/>
        <v>46044</v>
      </c>
      <c r="GO5" s="13">
        <f t="shared" si="58"/>
        <v>46045</v>
      </c>
      <c r="GP5" s="13">
        <f t="shared" si="58"/>
        <v>46046</v>
      </c>
      <c r="GQ5" s="14">
        <f t="shared" si="58"/>
        <v>46047</v>
      </c>
      <c r="GR5" s="12">
        <f>GQ5+1</f>
        <v>46048</v>
      </c>
      <c r="GS5" s="13">
        <f>GR5+1</f>
        <v>46049</v>
      </c>
      <c r="GT5" s="13">
        <f t="shared" ref="GT5:GX5" si="59">GS5+1</f>
        <v>46050</v>
      </c>
      <c r="GU5" s="13">
        <f t="shared" si="59"/>
        <v>46051</v>
      </c>
      <c r="GV5" s="13">
        <f t="shared" si="59"/>
        <v>46052</v>
      </c>
      <c r="GW5" s="13">
        <f t="shared" si="59"/>
        <v>46053</v>
      </c>
      <c r="GX5" s="14">
        <f t="shared" si="59"/>
        <v>46054</v>
      </c>
      <c r="GY5" s="12">
        <f>GX5+1</f>
        <v>46055</v>
      </c>
      <c r="GZ5" s="13">
        <f>GY5+1</f>
        <v>46056</v>
      </c>
      <c r="HA5" s="13">
        <f t="shared" ref="HA5:HE5" si="60">GZ5+1</f>
        <v>46057</v>
      </c>
      <c r="HB5" s="13">
        <f t="shared" si="60"/>
        <v>46058</v>
      </c>
      <c r="HC5" s="13">
        <f t="shared" si="60"/>
        <v>46059</v>
      </c>
      <c r="HD5" s="13">
        <f t="shared" si="60"/>
        <v>46060</v>
      </c>
      <c r="HE5" s="14">
        <f t="shared" si="60"/>
        <v>46061</v>
      </c>
      <c r="HF5" s="12">
        <f>HE5+1</f>
        <v>46062</v>
      </c>
      <c r="HG5" s="13">
        <f>HF5+1</f>
        <v>46063</v>
      </c>
      <c r="HH5" s="13">
        <f t="shared" ref="HH5:HL5" si="61">HG5+1</f>
        <v>46064</v>
      </c>
      <c r="HI5" s="13">
        <f t="shared" si="61"/>
        <v>46065</v>
      </c>
      <c r="HJ5" s="13">
        <f t="shared" si="61"/>
        <v>46066</v>
      </c>
      <c r="HK5" s="13">
        <f t="shared" si="61"/>
        <v>46067</v>
      </c>
      <c r="HL5" s="14">
        <f t="shared" si="61"/>
        <v>46068</v>
      </c>
      <c r="HM5" s="12">
        <f>HL5+1</f>
        <v>46069</v>
      </c>
      <c r="HN5" s="13">
        <f>HM5+1</f>
        <v>46070</v>
      </c>
      <c r="HO5" s="13">
        <f t="shared" ref="HO5:HS5" si="62">HN5+1</f>
        <v>46071</v>
      </c>
      <c r="HP5" s="13">
        <f t="shared" si="62"/>
        <v>46072</v>
      </c>
      <c r="HQ5" s="13">
        <f t="shared" si="62"/>
        <v>46073</v>
      </c>
      <c r="HR5" s="13">
        <f t="shared" si="62"/>
        <v>46074</v>
      </c>
      <c r="HS5" s="14">
        <f t="shared" si="62"/>
        <v>46075</v>
      </c>
      <c r="HT5" s="12">
        <f>HS5+1</f>
        <v>46076</v>
      </c>
      <c r="HU5" s="13">
        <f>HT5+1</f>
        <v>46077</v>
      </c>
      <c r="HV5" s="13">
        <f t="shared" ref="HV5:HZ5" si="63">HU5+1</f>
        <v>46078</v>
      </c>
      <c r="HW5" s="13">
        <f t="shared" si="63"/>
        <v>46079</v>
      </c>
      <c r="HX5" s="13">
        <f t="shared" si="63"/>
        <v>46080</v>
      </c>
      <c r="HY5" s="13">
        <f t="shared" si="63"/>
        <v>46081</v>
      </c>
      <c r="HZ5" s="14">
        <f t="shared" si="63"/>
        <v>46082</v>
      </c>
      <c r="IA5" s="12">
        <f>HZ5+1</f>
        <v>46083</v>
      </c>
      <c r="IB5" s="13">
        <f>IA5+1</f>
        <v>46084</v>
      </c>
      <c r="IC5" s="13">
        <f t="shared" ref="IC5:IG5" si="64">IB5+1</f>
        <v>46085</v>
      </c>
      <c r="ID5" s="13">
        <f t="shared" si="64"/>
        <v>46086</v>
      </c>
      <c r="IE5" s="13">
        <f t="shared" si="64"/>
        <v>46087</v>
      </c>
      <c r="IF5" s="13">
        <f t="shared" si="64"/>
        <v>46088</v>
      </c>
      <c r="IG5" s="14">
        <f t="shared" si="64"/>
        <v>46089</v>
      </c>
      <c r="IH5" s="12">
        <f>IG5+1</f>
        <v>46090</v>
      </c>
      <c r="II5" s="13">
        <f>IH5+1</f>
        <v>46091</v>
      </c>
      <c r="IJ5" s="13">
        <f t="shared" ref="IJ5:IN5" si="65">II5+1</f>
        <v>46092</v>
      </c>
      <c r="IK5" s="13">
        <f t="shared" si="65"/>
        <v>46093</v>
      </c>
      <c r="IL5" s="13">
        <f t="shared" si="65"/>
        <v>46094</v>
      </c>
      <c r="IM5" s="13">
        <f t="shared" si="65"/>
        <v>46095</v>
      </c>
      <c r="IN5" s="14">
        <f t="shared" si="65"/>
        <v>46096</v>
      </c>
      <c r="IO5" s="12">
        <f>IN5+1</f>
        <v>46097</v>
      </c>
      <c r="IP5" s="13">
        <f>IO5+1</f>
        <v>46098</v>
      </c>
      <c r="IQ5" s="13">
        <f t="shared" ref="IQ5:IU5" si="66">IP5+1</f>
        <v>46099</v>
      </c>
      <c r="IR5" s="13">
        <f t="shared" si="66"/>
        <v>46100</v>
      </c>
      <c r="IS5" s="13">
        <f t="shared" si="66"/>
        <v>46101</v>
      </c>
      <c r="IT5" s="13">
        <f t="shared" si="66"/>
        <v>46102</v>
      </c>
      <c r="IU5" s="14">
        <f t="shared" si="66"/>
        <v>46103</v>
      </c>
      <c r="IV5" s="12">
        <f>IU5+1</f>
        <v>46104</v>
      </c>
      <c r="IW5" s="13">
        <f>IV5+1</f>
        <v>46105</v>
      </c>
      <c r="IX5" s="13">
        <f t="shared" ref="IX5:JB5" si="67">IW5+1</f>
        <v>46106</v>
      </c>
      <c r="IY5" s="13">
        <f t="shared" si="67"/>
        <v>46107</v>
      </c>
      <c r="IZ5" s="13">
        <f t="shared" si="67"/>
        <v>46108</v>
      </c>
      <c r="JA5" s="13">
        <f t="shared" si="67"/>
        <v>46109</v>
      </c>
      <c r="JB5" s="14">
        <f t="shared" si="67"/>
        <v>46110</v>
      </c>
      <c r="JC5" s="12">
        <f>JB5+1</f>
        <v>46111</v>
      </c>
      <c r="JD5" s="13">
        <f>JC5+1</f>
        <v>46112</v>
      </c>
      <c r="JE5" s="13">
        <f t="shared" ref="JE5:JG5" si="68">JD5+1</f>
        <v>46113</v>
      </c>
      <c r="JF5" s="13">
        <f t="shared" si="68"/>
        <v>46114</v>
      </c>
      <c r="JG5" s="13">
        <f t="shared" si="68"/>
        <v>46115</v>
      </c>
      <c r="JH5" s="13">
        <f>JG5+1</f>
        <v>46116</v>
      </c>
      <c r="JI5" s="14">
        <f t="shared" ref="JI5" si="69">JH5+1</f>
        <v>46117</v>
      </c>
      <c r="JJ5" s="12">
        <f>JI5+1</f>
        <v>46118</v>
      </c>
      <c r="JK5" s="13">
        <f>JJ5+1</f>
        <v>46119</v>
      </c>
      <c r="JL5" s="13">
        <f t="shared" ref="JL5:JP5" si="70">JK5+1</f>
        <v>46120</v>
      </c>
      <c r="JM5" s="13">
        <f t="shared" si="70"/>
        <v>46121</v>
      </c>
      <c r="JN5" s="13">
        <f t="shared" si="70"/>
        <v>46122</v>
      </c>
      <c r="JO5" s="13">
        <f t="shared" si="70"/>
        <v>46123</v>
      </c>
      <c r="JP5" s="14">
        <f t="shared" si="70"/>
        <v>46124</v>
      </c>
      <c r="JQ5" s="12">
        <f>JP5+1</f>
        <v>46125</v>
      </c>
      <c r="JR5" s="13">
        <f>JQ5+1</f>
        <v>46126</v>
      </c>
      <c r="JS5" s="13">
        <f t="shared" ref="JS5:JW5" si="71">JR5+1</f>
        <v>46127</v>
      </c>
      <c r="JT5" s="13">
        <f t="shared" si="71"/>
        <v>46128</v>
      </c>
      <c r="JU5" s="13">
        <f t="shared" si="71"/>
        <v>46129</v>
      </c>
      <c r="JV5" s="13">
        <f t="shared" si="71"/>
        <v>46130</v>
      </c>
      <c r="JW5" s="14">
        <f t="shared" si="71"/>
        <v>46131</v>
      </c>
      <c r="JX5" s="12">
        <f>JW5+1</f>
        <v>46132</v>
      </c>
      <c r="JY5" s="13">
        <f>JX5+1</f>
        <v>46133</v>
      </c>
      <c r="JZ5" s="13">
        <f t="shared" ref="JZ5:KD5" si="72">JY5+1</f>
        <v>46134</v>
      </c>
      <c r="KA5" s="13">
        <f t="shared" si="72"/>
        <v>46135</v>
      </c>
      <c r="KB5" s="13">
        <f t="shared" si="72"/>
        <v>46136</v>
      </c>
      <c r="KC5" s="13">
        <f t="shared" si="72"/>
        <v>46137</v>
      </c>
      <c r="KD5" s="14">
        <f t="shared" si="72"/>
        <v>46138</v>
      </c>
      <c r="KE5" s="12">
        <f>KD5+1</f>
        <v>46139</v>
      </c>
      <c r="KF5" s="13">
        <f>KE5+1</f>
        <v>46140</v>
      </c>
      <c r="KG5" s="13">
        <f t="shared" ref="KG5:KK5" si="73">KF5+1</f>
        <v>46141</v>
      </c>
      <c r="KH5" s="13">
        <f t="shared" si="73"/>
        <v>46142</v>
      </c>
      <c r="KI5" s="13">
        <f t="shared" si="73"/>
        <v>46143</v>
      </c>
      <c r="KJ5" s="13">
        <f t="shared" si="73"/>
        <v>46144</v>
      </c>
      <c r="KK5" s="14">
        <f t="shared" si="73"/>
        <v>46145</v>
      </c>
      <c r="KL5" s="12">
        <f>KK5+1</f>
        <v>46146</v>
      </c>
      <c r="KM5" s="13">
        <f>KL5+1</f>
        <v>46147</v>
      </c>
      <c r="KN5" s="13">
        <f t="shared" ref="KN5:KR5" si="74">KM5+1</f>
        <v>46148</v>
      </c>
      <c r="KO5" s="13">
        <f t="shared" si="74"/>
        <v>46149</v>
      </c>
      <c r="KP5" s="13">
        <f t="shared" si="74"/>
        <v>46150</v>
      </c>
      <c r="KQ5" s="13">
        <f t="shared" si="74"/>
        <v>46151</v>
      </c>
      <c r="KR5" s="14">
        <f t="shared" si="74"/>
        <v>46152</v>
      </c>
      <c r="KS5" s="12">
        <f>KR5+1</f>
        <v>46153</v>
      </c>
      <c r="KT5" s="13">
        <f>KS5+1</f>
        <v>46154</v>
      </c>
      <c r="KU5" s="13">
        <f t="shared" ref="KU5:KY5" si="75">KT5+1</f>
        <v>46155</v>
      </c>
      <c r="KV5" s="13">
        <f t="shared" si="75"/>
        <v>46156</v>
      </c>
      <c r="KW5" s="13">
        <f t="shared" si="75"/>
        <v>46157</v>
      </c>
      <c r="KX5" s="13">
        <f t="shared" si="75"/>
        <v>46158</v>
      </c>
      <c r="KY5" s="14">
        <f t="shared" si="75"/>
        <v>46159</v>
      </c>
      <c r="KZ5" s="12">
        <f>KY5+1</f>
        <v>46160</v>
      </c>
      <c r="LA5" s="13">
        <f>KZ5+1</f>
        <v>46161</v>
      </c>
      <c r="LB5" s="13">
        <f t="shared" ref="LB5:LF5" si="76">LA5+1</f>
        <v>46162</v>
      </c>
      <c r="LC5" s="13">
        <f t="shared" si="76"/>
        <v>46163</v>
      </c>
      <c r="LD5" s="13">
        <f t="shared" si="76"/>
        <v>46164</v>
      </c>
      <c r="LE5" s="13">
        <f t="shared" si="76"/>
        <v>46165</v>
      </c>
      <c r="LF5" s="14">
        <f t="shared" si="76"/>
        <v>46166</v>
      </c>
      <c r="LG5" s="12">
        <f>LF5+1</f>
        <v>46167</v>
      </c>
      <c r="LH5" s="13">
        <f>LG5+1</f>
        <v>46168</v>
      </c>
      <c r="LI5" s="13">
        <f t="shared" ref="LI5:LM5" si="77">LH5+1</f>
        <v>46169</v>
      </c>
      <c r="LJ5" s="13">
        <f t="shared" si="77"/>
        <v>46170</v>
      </c>
      <c r="LK5" s="13">
        <f t="shared" si="77"/>
        <v>46171</v>
      </c>
      <c r="LL5" s="13">
        <f t="shared" si="77"/>
        <v>46172</v>
      </c>
      <c r="LM5" s="14">
        <f t="shared" si="77"/>
        <v>46173</v>
      </c>
      <c r="LN5" s="12">
        <f>LM5+1</f>
        <v>46174</v>
      </c>
      <c r="LO5" s="13">
        <f>LN5+1</f>
        <v>46175</v>
      </c>
      <c r="LP5" s="13">
        <f t="shared" ref="LP5:LT5" si="78">LO5+1</f>
        <v>46176</v>
      </c>
      <c r="LQ5" s="13">
        <f t="shared" si="78"/>
        <v>46177</v>
      </c>
      <c r="LR5" s="13">
        <f t="shared" si="78"/>
        <v>46178</v>
      </c>
      <c r="LS5" s="13">
        <f t="shared" si="78"/>
        <v>46179</v>
      </c>
      <c r="LT5" s="14">
        <f t="shared" si="78"/>
        <v>46180</v>
      </c>
      <c r="LU5" s="12">
        <f>LT5+1</f>
        <v>46181</v>
      </c>
      <c r="LV5" s="13">
        <f>LU5+1</f>
        <v>46182</v>
      </c>
      <c r="LW5" s="13">
        <f t="shared" ref="LW5:MA5" si="79">LV5+1</f>
        <v>46183</v>
      </c>
      <c r="LX5" s="13">
        <f t="shared" si="79"/>
        <v>46184</v>
      </c>
      <c r="LY5" s="13">
        <f t="shared" si="79"/>
        <v>46185</v>
      </c>
      <c r="LZ5" s="13">
        <f t="shared" si="79"/>
        <v>46186</v>
      </c>
      <c r="MA5" s="14">
        <f t="shared" si="79"/>
        <v>46187</v>
      </c>
      <c r="MB5" s="12">
        <f>MA5+1</f>
        <v>46188</v>
      </c>
      <c r="MC5" s="13">
        <f>MB5+1</f>
        <v>46189</v>
      </c>
      <c r="MD5" s="13">
        <f t="shared" ref="MD5:MH5" si="80">MC5+1</f>
        <v>46190</v>
      </c>
      <c r="ME5" s="13">
        <f t="shared" si="80"/>
        <v>46191</v>
      </c>
      <c r="MF5" s="13">
        <f t="shared" si="80"/>
        <v>46192</v>
      </c>
      <c r="MG5" s="13">
        <f t="shared" si="80"/>
        <v>46193</v>
      </c>
      <c r="MH5" s="14">
        <f t="shared" si="80"/>
        <v>46194</v>
      </c>
    </row>
    <row r="6" spans="1:353" ht="29.25" customHeight="1" thickBot="1">
      <c r="A6" s="289" t="s">
        <v>162</v>
      </c>
      <c r="B6" s="290"/>
      <c r="C6" s="15" t="s">
        <v>163</v>
      </c>
      <c r="D6" s="16" t="s">
        <v>164</v>
      </c>
      <c r="E6" s="17" t="s">
        <v>165</v>
      </c>
      <c r="F6" s="17" t="s">
        <v>166</v>
      </c>
      <c r="G6" s="17" t="s">
        <v>167</v>
      </c>
      <c r="H6" s="48" t="s">
        <v>168</v>
      </c>
      <c r="I6" s="18"/>
      <c r="J6" s="18" t="s">
        <v>169</v>
      </c>
      <c r="K6" s="19" t="str">
        <f t="shared" ref="K6:BV6" si="81">LEFT(TEXT(K5,"ddd"),1)</f>
        <v>M</v>
      </c>
      <c r="L6" s="19" t="str">
        <f t="shared" si="81"/>
        <v>T</v>
      </c>
      <c r="M6" s="19" t="str">
        <f t="shared" si="81"/>
        <v>W</v>
      </c>
      <c r="N6" s="19" t="str">
        <f t="shared" si="81"/>
        <v>T</v>
      </c>
      <c r="O6" s="19" t="str">
        <f t="shared" si="81"/>
        <v>F</v>
      </c>
      <c r="P6" s="19" t="str">
        <f t="shared" si="81"/>
        <v>S</v>
      </c>
      <c r="Q6" s="19" t="str">
        <f t="shared" si="81"/>
        <v>S</v>
      </c>
      <c r="R6" s="19" t="str">
        <f t="shared" si="81"/>
        <v>M</v>
      </c>
      <c r="S6" s="19" t="str">
        <f t="shared" si="81"/>
        <v>T</v>
      </c>
      <c r="T6" s="19" t="str">
        <f t="shared" si="81"/>
        <v>W</v>
      </c>
      <c r="U6" s="19" t="str">
        <f t="shared" si="81"/>
        <v>T</v>
      </c>
      <c r="V6" s="19" t="str">
        <f t="shared" si="81"/>
        <v>F</v>
      </c>
      <c r="W6" s="19" t="str">
        <f t="shared" si="81"/>
        <v>S</v>
      </c>
      <c r="X6" s="19" t="str">
        <f t="shared" si="81"/>
        <v>S</v>
      </c>
      <c r="Y6" s="19" t="str">
        <f t="shared" si="81"/>
        <v>M</v>
      </c>
      <c r="Z6" s="19" t="str">
        <f t="shared" si="81"/>
        <v>T</v>
      </c>
      <c r="AA6" s="19" t="str">
        <f t="shared" si="81"/>
        <v>W</v>
      </c>
      <c r="AB6" s="19" t="str">
        <f t="shared" si="81"/>
        <v>T</v>
      </c>
      <c r="AC6" s="19" t="str">
        <f t="shared" si="81"/>
        <v>F</v>
      </c>
      <c r="AD6" s="19" t="str">
        <f t="shared" si="81"/>
        <v>S</v>
      </c>
      <c r="AE6" s="19" t="str">
        <f t="shared" si="81"/>
        <v>S</v>
      </c>
      <c r="AF6" s="19" t="str">
        <f t="shared" si="81"/>
        <v>M</v>
      </c>
      <c r="AG6" s="19" t="str">
        <f t="shared" si="81"/>
        <v>T</v>
      </c>
      <c r="AH6" s="19" t="str">
        <f t="shared" si="81"/>
        <v>W</v>
      </c>
      <c r="AI6" s="19" t="str">
        <f t="shared" si="81"/>
        <v>T</v>
      </c>
      <c r="AJ6" s="19" t="str">
        <f t="shared" si="81"/>
        <v>F</v>
      </c>
      <c r="AK6" s="19" t="str">
        <f t="shared" si="81"/>
        <v>S</v>
      </c>
      <c r="AL6" s="19" t="str">
        <f t="shared" si="81"/>
        <v>S</v>
      </c>
      <c r="AM6" s="19" t="str">
        <f t="shared" si="81"/>
        <v>M</v>
      </c>
      <c r="AN6" s="19" t="str">
        <f t="shared" si="81"/>
        <v>T</v>
      </c>
      <c r="AO6" s="19" t="str">
        <f t="shared" si="81"/>
        <v>W</v>
      </c>
      <c r="AP6" s="19" t="str">
        <f t="shared" si="81"/>
        <v>T</v>
      </c>
      <c r="AQ6" s="19" t="str">
        <f t="shared" si="81"/>
        <v>F</v>
      </c>
      <c r="AR6" s="19" t="str">
        <f t="shared" si="81"/>
        <v>S</v>
      </c>
      <c r="AS6" s="19" t="str">
        <f t="shared" si="81"/>
        <v>S</v>
      </c>
      <c r="AT6" s="19" t="str">
        <f t="shared" si="81"/>
        <v>M</v>
      </c>
      <c r="AU6" s="19" t="str">
        <f t="shared" si="81"/>
        <v>T</v>
      </c>
      <c r="AV6" s="19" t="str">
        <f t="shared" si="81"/>
        <v>W</v>
      </c>
      <c r="AW6" s="19" t="str">
        <f t="shared" si="81"/>
        <v>T</v>
      </c>
      <c r="AX6" s="19" t="str">
        <f t="shared" si="81"/>
        <v>F</v>
      </c>
      <c r="AY6" s="19" t="str">
        <f t="shared" si="81"/>
        <v>S</v>
      </c>
      <c r="AZ6" s="19" t="str">
        <f t="shared" si="81"/>
        <v>S</v>
      </c>
      <c r="BA6" s="19" t="str">
        <f t="shared" si="81"/>
        <v>M</v>
      </c>
      <c r="BB6" s="19" t="str">
        <f t="shared" si="81"/>
        <v>T</v>
      </c>
      <c r="BC6" s="19" t="str">
        <f t="shared" si="81"/>
        <v>W</v>
      </c>
      <c r="BD6" s="19" t="str">
        <f t="shared" si="81"/>
        <v>T</v>
      </c>
      <c r="BE6" s="19" t="str">
        <f t="shared" si="81"/>
        <v>F</v>
      </c>
      <c r="BF6" s="19" t="str">
        <f t="shared" si="81"/>
        <v>S</v>
      </c>
      <c r="BG6" s="19" t="str">
        <f t="shared" si="81"/>
        <v>S</v>
      </c>
      <c r="BH6" s="19" t="str">
        <f t="shared" si="81"/>
        <v>M</v>
      </c>
      <c r="BI6" s="19" t="str">
        <f t="shared" si="81"/>
        <v>T</v>
      </c>
      <c r="BJ6" s="19" t="str">
        <f t="shared" si="81"/>
        <v>W</v>
      </c>
      <c r="BK6" s="19" t="str">
        <f t="shared" si="81"/>
        <v>T</v>
      </c>
      <c r="BL6" s="19" t="str">
        <f t="shared" si="81"/>
        <v>F</v>
      </c>
      <c r="BM6" s="19" t="str">
        <f t="shared" si="81"/>
        <v>S</v>
      </c>
      <c r="BN6" s="19" t="str">
        <f t="shared" si="81"/>
        <v>S</v>
      </c>
      <c r="BO6" s="19" t="str">
        <f t="shared" si="81"/>
        <v>M</v>
      </c>
      <c r="BP6" s="19" t="str">
        <f t="shared" si="81"/>
        <v>T</v>
      </c>
      <c r="BQ6" s="19" t="str">
        <f t="shared" si="81"/>
        <v>W</v>
      </c>
      <c r="BR6" s="19" t="str">
        <f t="shared" si="81"/>
        <v>T</v>
      </c>
      <c r="BS6" s="19" t="str">
        <f t="shared" si="81"/>
        <v>F</v>
      </c>
      <c r="BT6" s="19" t="str">
        <f t="shared" si="81"/>
        <v>S</v>
      </c>
      <c r="BU6" s="19" t="str">
        <f t="shared" si="81"/>
        <v>S</v>
      </c>
      <c r="BV6" s="19" t="str">
        <f t="shared" si="81"/>
        <v>M</v>
      </c>
      <c r="BW6" s="20" t="str">
        <f t="shared" ref="BW6:EH6" si="82">LEFT(TEXT(BW5,"ddd"),1)</f>
        <v>T</v>
      </c>
      <c r="BX6" s="19" t="str">
        <f t="shared" si="82"/>
        <v>W</v>
      </c>
      <c r="BY6" s="19" t="str">
        <f t="shared" si="82"/>
        <v>T</v>
      </c>
      <c r="BZ6" s="19" t="str">
        <f t="shared" si="82"/>
        <v>F</v>
      </c>
      <c r="CA6" s="19" t="str">
        <f t="shared" si="82"/>
        <v>S</v>
      </c>
      <c r="CB6" s="19" t="str">
        <f t="shared" si="82"/>
        <v>S</v>
      </c>
      <c r="CC6" s="19" t="str">
        <f t="shared" si="82"/>
        <v>M</v>
      </c>
      <c r="CD6" s="19" t="str">
        <f t="shared" si="82"/>
        <v>T</v>
      </c>
      <c r="CE6" s="19" t="str">
        <f t="shared" si="82"/>
        <v>W</v>
      </c>
      <c r="CF6" s="19" t="str">
        <f t="shared" si="82"/>
        <v>T</v>
      </c>
      <c r="CG6" s="19" t="str">
        <f t="shared" si="82"/>
        <v>F</v>
      </c>
      <c r="CH6" s="19" t="str">
        <f t="shared" si="82"/>
        <v>S</v>
      </c>
      <c r="CI6" s="19" t="str">
        <f t="shared" si="82"/>
        <v>S</v>
      </c>
      <c r="CJ6" s="19" t="str">
        <f t="shared" si="82"/>
        <v>M</v>
      </c>
      <c r="CK6" s="19" t="str">
        <f t="shared" si="82"/>
        <v>T</v>
      </c>
      <c r="CL6" s="19" t="str">
        <f t="shared" si="82"/>
        <v>W</v>
      </c>
      <c r="CM6" s="19" t="str">
        <f t="shared" si="82"/>
        <v>T</v>
      </c>
      <c r="CN6" s="19" t="str">
        <f t="shared" si="82"/>
        <v>F</v>
      </c>
      <c r="CO6" s="19" t="str">
        <f t="shared" si="82"/>
        <v>S</v>
      </c>
      <c r="CP6" s="19" t="str">
        <f t="shared" si="82"/>
        <v>S</v>
      </c>
      <c r="CQ6" s="19" t="str">
        <f t="shared" si="82"/>
        <v>M</v>
      </c>
      <c r="CR6" s="19" t="str">
        <f t="shared" si="82"/>
        <v>T</v>
      </c>
      <c r="CS6" s="19" t="str">
        <f t="shared" si="82"/>
        <v>W</v>
      </c>
      <c r="CT6" s="19" t="str">
        <f t="shared" si="82"/>
        <v>T</v>
      </c>
      <c r="CU6" s="19" t="str">
        <f t="shared" si="82"/>
        <v>F</v>
      </c>
      <c r="CV6" s="19" t="str">
        <f t="shared" si="82"/>
        <v>S</v>
      </c>
      <c r="CW6" s="19" t="str">
        <f t="shared" si="82"/>
        <v>S</v>
      </c>
      <c r="CX6" s="19" t="str">
        <f t="shared" si="82"/>
        <v>M</v>
      </c>
      <c r="CY6" s="19" t="str">
        <f t="shared" si="82"/>
        <v>T</v>
      </c>
      <c r="CZ6" s="19" t="str">
        <f t="shared" si="82"/>
        <v>W</v>
      </c>
      <c r="DA6" s="19" t="str">
        <f t="shared" si="82"/>
        <v>T</v>
      </c>
      <c r="DB6" s="19" t="str">
        <f t="shared" si="82"/>
        <v>F</v>
      </c>
      <c r="DC6" s="19" t="str">
        <f t="shared" si="82"/>
        <v>S</v>
      </c>
      <c r="DD6" s="19" t="str">
        <f t="shared" si="82"/>
        <v>S</v>
      </c>
      <c r="DE6" s="19" t="str">
        <f t="shared" si="82"/>
        <v>M</v>
      </c>
      <c r="DF6" s="19" t="str">
        <f t="shared" si="82"/>
        <v>T</v>
      </c>
      <c r="DG6" s="19" t="str">
        <f t="shared" si="82"/>
        <v>W</v>
      </c>
      <c r="DH6" s="19" t="str">
        <f t="shared" si="82"/>
        <v>T</v>
      </c>
      <c r="DI6" s="19" t="str">
        <f t="shared" si="82"/>
        <v>F</v>
      </c>
      <c r="DJ6" s="19" t="str">
        <f t="shared" si="82"/>
        <v>S</v>
      </c>
      <c r="DK6" s="19" t="str">
        <f t="shared" si="82"/>
        <v>S</v>
      </c>
      <c r="DL6" s="19" t="str">
        <f t="shared" si="82"/>
        <v>M</v>
      </c>
      <c r="DM6" s="19" t="str">
        <f t="shared" si="82"/>
        <v>T</v>
      </c>
      <c r="DN6" s="19" t="str">
        <f t="shared" si="82"/>
        <v>W</v>
      </c>
      <c r="DO6" s="19" t="str">
        <f t="shared" si="82"/>
        <v>T</v>
      </c>
      <c r="DP6" s="19" t="str">
        <f t="shared" si="82"/>
        <v>F</v>
      </c>
      <c r="DQ6" s="19" t="str">
        <f t="shared" si="82"/>
        <v>S</v>
      </c>
      <c r="DR6" s="19" t="str">
        <f t="shared" si="82"/>
        <v>S</v>
      </c>
      <c r="DS6" s="19" t="str">
        <f t="shared" si="82"/>
        <v>M</v>
      </c>
      <c r="DT6" s="19" t="str">
        <f t="shared" si="82"/>
        <v>T</v>
      </c>
      <c r="DU6" s="19" t="str">
        <f t="shared" si="82"/>
        <v>W</v>
      </c>
      <c r="DV6" s="19" t="str">
        <f t="shared" si="82"/>
        <v>T</v>
      </c>
      <c r="DW6" s="19" t="str">
        <f t="shared" si="82"/>
        <v>F</v>
      </c>
      <c r="DX6" s="19" t="str">
        <f t="shared" si="82"/>
        <v>S</v>
      </c>
      <c r="DY6" s="19" t="str">
        <f t="shared" si="82"/>
        <v>S</v>
      </c>
      <c r="DZ6" s="19" t="str">
        <f t="shared" si="82"/>
        <v>M</v>
      </c>
      <c r="EA6" s="19" t="str">
        <f t="shared" si="82"/>
        <v>T</v>
      </c>
      <c r="EB6" s="19" t="str">
        <f t="shared" si="82"/>
        <v>W</v>
      </c>
      <c r="EC6" s="19" t="str">
        <f t="shared" si="82"/>
        <v>T</v>
      </c>
      <c r="ED6" s="19" t="str">
        <f t="shared" si="82"/>
        <v>F</v>
      </c>
      <c r="EE6" s="19" t="str">
        <f t="shared" si="82"/>
        <v>S</v>
      </c>
      <c r="EF6" s="19" t="str">
        <f t="shared" si="82"/>
        <v>S</v>
      </c>
      <c r="EG6" s="19" t="str">
        <f t="shared" si="82"/>
        <v>M</v>
      </c>
      <c r="EH6" s="19" t="str">
        <f t="shared" si="82"/>
        <v>T</v>
      </c>
      <c r="EI6" s="19" t="str">
        <f t="shared" ref="EI6:GT6" si="83">LEFT(TEXT(EI5,"ddd"),1)</f>
        <v>W</v>
      </c>
      <c r="EJ6" s="19" t="str">
        <f t="shared" si="83"/>
        <v>T</v>
      </c>
      <c r="EK6" s="19" t="str">
        <f t="shared" si="83"/>
        <v>F</v>
      </c>
      <c r="EL6" s="19" t="str">
        <f t="shared" si="83"/>
        <v>S</v>
      </c>
      <c r="EM6" s="19" t="str">
        <f t="shared" si="83"/>
        <v>S</v>
      </c>
      <c r="EN6" s="19" t="str">
        <f t="shared" si="83"/>
        <v>M</v>
      </c>
      <c r="EO6" s="19" t="str">
        <f t="shared" si="83"/>
        <v>T</v>
      </c>
      <c r="EP6" s="19" t="str">
        <f t="shared" si="83"/>
        <v>W</v>
      </c>
      <c r="EQ6" s="19" t="str">
        <f t="shared" si="83"/>
        <v>T</v>
      </c>
      <c r="ER6" s="19" t="str">
        <f t="shared" si="83"/>
        <v>F</v>
      </c>
      <c r="ES6" s="19" t="str">
        <f t="shared" si="83"/>
        <v>S</v>
      </c>
      <c r="ET6" s="19" t="str">
        <f t="shared" si="83"/>
        <v>S</v>
      </c>
      <c r="EU6" s="19" t="str">
        <f t="shared" si="83"/>
        <v>M</v>
      </c>
      <c r="EV6" s="19" t="str">
        <f t="shared" si="83"/>
        <v>T</v>
      </c>
      <c r="EW6" s="19" t="str">
        <f t="shared" si="83"/>
        <v>W</v>
      </c>
      <c r="EX6" s="19" t="str">
        <f t="shared" si="83"/>
        <v>T</v>
      </c>
      <c r="EY6" s="19" t="str">
        <f t="shared" si="83"/>
        <v>F</v>
      </c>
      <c r="EZ6" s="19" t="str">
        <f t="shared" si="83"/>
        <v>S</v>
      </c>
      <c r="FA6" s="19" t="str">
        <f t="shared" si="83"/>
        <v>S</v>
      </c>
      <c r="FB6" s="19" t="str">
        <f t="shared" si="83"/>
        <v>M</v>
      </c>
      <c r="FC6" s="19" t="str">
        <f t="shared" si="83"/>
        <v>T</v>
      </c>
      <c r="FD6" s="19" t="str">
        <f t="shared" si="83"/>
        <v>W</v>
      </c>
      <c r="FE6" s="19" t="str">
        <f t="shared" si="83"/>
        <v>T</v>
      </c>
      <c r="FF6" s="19" t="str">
        <f t="shared" si="83"/>
        <v>F</v>
      </c>
      <c r="FG6" s="19" t="str">
        <f t="shared" si="83"/>
        <v>S</v>
      </c>
      <c r="FH6" s="19" t="str">
        <f t="shared" si="83"/>
        <v>S</v>
      </c>
      <c r="FI6" s="19" t="str">
        <f t="shared" si="83"/>
        <v>M</v>
      </c>
      <c r="FJ6" s="19" t="str">
        <f t="shared" si="83"/>
        <v>T</v>
      </c>
      <c r="FK6" s="19" t="str">
        <f t="shared" si="83"/>
        <v>W</v>
      </c>
      <c r="FL6" s="19" t="str">
        <f t="shared" si="83"/>
        <v>T</v>
      </c>
      <c r="FM6" s="19" t="str">
        <f t="shared" si="83"/>
        <v>F</v>
      </c>
      <c r="FN6" s="19" t="str">
        <f t="shared" si="83"/>
        <v>S</v>
      </c>
      <c r="FO6" s="19" t="str">
        <f t="shared" si="83"/>
        <v>S</v>
      </c>
      <c r="FP6" s="19" t="str">
        <f t="shared" si="83"/>
        <v>M</v>
      </c>
      <c r="FQ6" s="19" t="str">
        <f t="shared" si="83"/>
        <v>T</v>
      </c>
      <c r="FR6" s="19" t="str">
        <f t="shared" si="83"/>
        <v>W</v>
      </c>
      <c r="FS6" s="19" t="str">
        <f t="shared" si="83"/>
        <v>T</v>
      </c>
      <c r="FT6" s="19" t="str">
        <f t="shared" si="83"/>
        <v>F</v>
      </c>
      <c r="FU6" s="19" t="str">
        <f t="shared" si="83"/>
        <v>S</v>
      </c>
      <c r="FV6" s="19" t="str">
        <f t="shared" si="83"/>
        <v>S</v>
      </c>
      <c r="FW6" s="19" t="str">
        <f t="shared" si="83"/>
        <v>M</v>
      </c>
      <c r="FX6" s="19" t="str">
        <f t="shared" si="83"/>
        <v>T</v>
      </c>
      <c r="FY6" s="19" t="str">
        <f t="shared" si="83"/>
        <v>W</v>
      </c>
      <c r="FZ6" s="19" t="str">
        <f t="shared" si="83"/>
        <v>T</v>
      </c>
      <c r="GA6" s="19" t="str">
        <f t="shared" si="83"/>
        <v>F</v>
      </c>
      <c r="GB6" s="19" t="str">
        <f t="shared" si="83"/>
        <v>S</v>
      </c>
      <c r="GC6" s="19" t="str">
        <f t="shared" si="83"/>
        <v>S</v>
      </c>
      <c r="GD6" s="19" t="str">
        <f t="shared" si="83"/>
        <v>M</v>
      </c>
      <c r="GE6" s="19" t="str">
        <f t="shared" si="83"/>
        <v>T</v>
      </c>
      <c r="GF6" s="19" t="str">
        <f t="shared" si="83"/>
        <v>W</v>
      </c>
      <c r="GG6" s="19" t="str">
        <f t="shared" si="83"/>
        <v>T</v>
      </c>
      <c r="GH6" s="19" t="str">
        <f t="shared" si="83"/>
        <v>F</v>
      </c>
      <c r="GI6" s="19" t="str">
        <f t="shared" si="83"/>
        <v>S</v>
      </c>
      <c r="GJ6" s="19" t="str">
        <f t="shared" si="83"/>
        <v>S</v>
      </c>
      <c r="GK6" s="19" t="str">
        <f t="shared" si="83"/>
        <v>M</v>
      </c>
      <c r="GL6" s="19" t="str">
        <f t="shared" si="83"/>
        <v>T</v>
      </c>
      <c r="GM6" s="19" t="str">
        <f t="shared" si="83"/>
        <v>W</v>
      </c>
      <c r="GN6" s="19" t="str">
        <f t="shared" si="83"/>
        <v>T</v>
      </c>
      <c r="GO6" s="19" t="str">
        <f t="shared" si="83"/>
        <v>F</v>
      </c>
      <c r="GP6" s="19" t="str">
        <f t="shared" si="83"/>
        <v>S</v>
      </c>
      <c r="GQ6" s="19" t="str">
        <f t="shared" si="83"/>
        <v>S</v>
      </c>
      <c r="GR6" s="19" t="str">
        <f t="shared" si="83"/>
        <v>M</v>
      </c>
      <c r="GS6" s="19" t="str">
        <f t="shared" si="83"/>
        <v>T</v>
      </c>
      <c r="GT6" s="19" t="str">
        <f t="shared" si="83"/>
        <v>W</v>
      </c>
      <c r="GU6" s="19" t="str">
        <f t="shared" ref="GU6:JF6" si="84">LEFT(TEXT(GU5,"ddd"),1)</f>
        <v>T</v>
      </c>
      <c r="GV6" s="19" t="str">
        <f t="shared" si="84"/>
        <v>F</v>
      </c>
      <c r="GW6" s="19" t="str">
        <f t="shared" si="84"/>
        <v>S</v>
      </c>
      <c r="GX6" s="19" t="str">
        <f t="shared" si="84"/>
        <v>S</v>
      </c>
      <c r="GY6" s="19" t="str">
        <f t="shared" si="84"/>
        <v>M</v>
      </c>
      <c r="GZ6" s="19" t="str">
        <f t="shared" si="84"/>
        <v>T</v>
      </c>
      <c r="HA6" s="19" t="str">
        <f t="shared" si="84"/>
        <v>W</v>
      </c>
      <c r="HB6" s="19" t="str">
        <f t="shared" si="84"/>
        <v>T</v>
      </c>
      <c r="HC6" s="19" t="str">
        <f t="shared" si="84"/>
        <v>F</v>
      </c>
      <c r="HD6" s="19" t="str">
        <f t="shared" si="84"/>
        <v>S</v>
      </c>
      <c r="HE6" s="19" t="str">
        <f t="shared" si="84"/>
        <v>S</v>
      </c>
      <c r="HF6" s="19" t="str">
        <f t="shared" si="84"/>
        <v>M</v>
      </c>
      <c r="HG6" s="19" t="str">
        <f t="shared" si="84"/>
        <v>T</v>
      </c>
      <c r="HH6" s="19" t="str">
        <f t="shared" si="84"/>
        <v>W</v>
      </c>
      <c r="HI6" s="19" t="str">
        <f t="shared" si="84"/>
        <v>T</v>
      </c>
      <c r="HJ6" s="19" t="str">
        <f t="shared" si="84"/>
        <v>F</v>
      </c>
      <c r="HK6" s="19" t="str">
        <f t="shared" si="84"/>
        <v>S</v>
      </c>
      <c r="HL6" s="19" t="str">
        <f t="shared" si="84"/>
        <v>S</v>
      </c>
      <c r="HM6" s="19" t="str">
        <f t="shared" si="84"/>
        <v>M</v>
      </c>
      <c r="HN6" s="19" t="str">
        <f t="shared" si="84"/>
        <v>T</v>
      </c>
      <c r="HO6" s="19" t="str">
        <f t="shared" si="84"/>
        <v>W</v>
      </c>
      <c r="HP6" s="19" t="str">
        <f t="shared" si="84"/>
        <v>T</v>
      </c>
      <c r="HQ6" s="19" t="str">
        <f t="shared" si="84"/>
        <v>F</v>
      </c>
      <c r="HR6" s="19" t="str">
        <f t="shared" si="84"/>
        <v>S</v>
      </c>
      <c r="HS6" s="19" t="str">
        <f t="shared" si="84"/>
        <v>S</v>
      </c>
      <c r="HT6" s="19" t="str">
        <f t="shared" si="84"/>
        <v>M</v>
      </c>
      <c r="HU6" s="19" t="str">
        <f t="shared" si="84"/>
        <v>T</v>
      </c>
      <c r="HV6" s="19" t="str">
        <f t="shared" si="84"/>
        <v>W</v>
      </c>
      <c r="HW6" s="19" t="str">
        <f t="shared" si="84"/>
        <v>T</v>
      </c>
      <c r="HX6" s="19" t="str">
        <f t="shared" si="84"/>
        <v>F</v>
      </c>
      <c r="HY6" s="19" t="str">
        <f t="shared" si="84"/>
        <v>S</v>
      </c>
      <c r="HZ6" s="19" t="str">
        <f t="shared" si="84"/>
        <v>S</v>
      </c>
      <c r="IA6" s="19" t="str">
        <f t="shared" si="84"/>
        <v>M</v>
      </c>
      <c r="IB6" s="19" t="str">
        <f t="shared" si="84"/>
        <v>T</v>
      </c>
      <c r="IC6" s="19" t="str">
        <f t="shared" si="84"/>
        <v>W</v>
      </c>
      <c r="ID6" s="19" t="str">
        <f t="shared" si="84"/>
        <v>T</v>
      </c>
      <c r="IE6" s="19" t="str">
        <f t="shared" si="84"/>
        <v>F</v>
      </c>
      <c r="IF6" s="19" t="str">
        <f t="shared" si="84"/>
        <v>S</v>
      </c>
      <c r="IG6" s="19" t="str">
        <f t="shared" si="84"/>
        <v>S</v>
      </c>
      <c r="IH6" s="19" t="str">
        <f t="shared" si="84"/>
        <v>M</v>
      </c>
      <c r="II6" s="19" t="str">
        <f t="shared" si="84"/>
        <v>T</v>
      </c>
      <c r="IJ6" s="19" t="str">
        <f t="shared" si="84"/>
        <v>W</v>
      </c>
      <c r="IK6" s="19" t="str">
        <f t="shared" si="84"/>
        <v>T</v>
      </c>
      <c r="IL6" s="19" t="str">
        <f t="shared" si="84"/>
        <v>F</v>
      </c>
      <c r="IM6" s="19" t="str">
        <f t="shared" si="84"/>
        <v>S</v>
      </c>
      <c r="IN6" s="19" t="str">
        <f t="shared" si="84"/>
        <v>S</v>
      </c>
      <c r="IO6" s="19" t="str">
        <f t="shared" si="84"/>
        <v>M</v>
      </c>
      <c r="IP6" s="19" t="str">
        <f t="shared" si="84"/>
        <v>T</v>
      </c>
      <c r="IQ6" s="19" t="str">
        <f t="shared" si="84"/>
        <v>W</v>
      </c>
      <c r="IR6" s="19" t="str">
        <f t="shared" si="84"/>
        <v>T</v>
      </c>
      <c r="IS6" s="19" t="str">
        <f t="shared" si="84"/>
        <v>F</v>
      </c>
      <c r="IT6" s="19" t="str">
        <f t="shared" si="84"/>
        <v>S</v>
      </c>
      <c r="IU6" s="19" t="str">
        <f t="shared" si="84"/>
        <v>S</v>
      </c>
      <c r="IV6" s="19" t="str">
        <f t="shared" si="84"/>
        <v>M</v>
      </c>
      <c r="IW6" s="19" t="str">
        <f t="shared" si="84"/>
        <v>T</v>
      </c>
      <c r="IX6" s="19" t="str">
        <f t="shared" si="84"/>
        <v>W</v>
      </c>
      <c r="IY6" s="19" t="str">
        <f t="shared" si="84"/>
        <v>T</v>
      </c>
      <c r="IZ6" s="19" t="str">
        <f t="shared" si="84"/>
        <v>F</v>
      </c>
      <c r="JA6" s="19" t="str">
        <f t="shared" si="84"/>
        <v>S</v>
      </c>
      <c r="JB6" s="19" t="str">
        <f t="shared" si="84"/>
        <v>S</v>
      </c>
      <c r="JC6" s="19" t="str">
        <f t="shared" si="84"/>
        <v>M</v>
      </c>
      <c r="JD6" s="19" t="str">
        <f t="shared" si="84"/>
        <v>T</v>
      </c>
      <c r="JE6" s="19" t="str">
        <f t="shared" si="84"/>
        <v>W</v>
      </c>
      <c r="JF6" s="19" t="str">
        <f t="shared" si="84"/>
        <v>T</v>
      </c>
      <c r="JG6" s="19" t="str">
        <f t="shared" ref="JG6:LR6" si="85">LEFT(TEXT(JG5,"ddd"),1)</f>
        <v>F</v>
      </c>
      <c r="JH6" s="19" t="str">
        <f t="shared" si="85"/>
        <v>S</v>
      </c>
      <c r="JI6" s="19" t="str">
        <f t="shared" si="85"/>
        <v>S</v>
      </c>
      <c r="JJ6" s="19" t="str">
        <f t="shared" si="85"/>
        <v>M</v>
      </c>
      <c r="JK6" s="19" t="str">
        <f t="shared" si="85"/>
        <v>T</v>
      </c>
      <c r="JL6" s="19" t="str">
        <f t="shared" si="85"/>
        <v>W</v>
      </c>
      <c r="JM6" s="19" t="str">
        <f t="shared" si="85"/>
        <v>T</v>
      </c>
      <c r="JN6" s="19" t="str">
        <f t="shared" si="85"/>
        <v>F</v>
      </c>
      <c r="JO6" s="19" t="str">
        <f t="shared" si="85"/>
        <v>S</v>
      </c>
      <c r="JP6" s="19" t="str">
        <f t="shared" si="85"/>
        <v>S</v>
      </c>
      <c r="JQ6" s="19" t="str">
        <f t="shared" si="85"/>
        <v>M</v>
      </c>
      <c r="JR6" s="19" t="str">
        <f t="shared" si="85"/>
        <v>T</v>
      </c>
      <c r="JS6" s="19" t="str">
        <f t="shared" si="85"/>
        <v>W</v>
      </c>
      <c r="JT6" s="19" t="str">
        <f t="shared" si="85"/>
        <v>T</v>
      </c>
      <c r="JU6" s="19" t="str">
        <f t="shared" si="85"/>
        <v>F</v>
      </c>
      <c r="JV6" s="19" t="str">
        <f t="shared" si="85"/>
        <v>S</v>
      </c>
      <c r="JW6" s="19" t="str">
        <f t="shared" si="85"/>
        <v>S</v>
      </c>
      <c r="JX6" s="19" t="str">
        <f t="shared" si="85"/>
        <v>M</v>
      </c>
      <c r="JY6" s="19" t="str">
        <f t="shared" si="85"/>
        <v>T</v>
      </c>
      <c r="JZ6" s="19" t="str">
        <f t="shared" si="85"/>
        <v>W</v>
      </c>
      <c r="KA6" s="19" t="str">
        <f t="shared" si="85"/>
        <v>T</v>
      </c>
      <c r="KB6" s="19" t="str">
        <f t="shared" si="85"/>
        <v>F</v>
      </c>
      <c r="KC6" s="19" t="str">
        <f t="shared" si="85"/>
        <v>S</v>
      </c>
      <c r="KD6" s="19" t="str">
        <f t="shared" si="85"/>
        <v>S</v>
      </c>
      <c r="KE6" s="19" t="str">
        <f t="shared" si="85"/>
        <v>M</v>
      </c>
      <c r="KF6" s="19" t="str">
        <f t="shared" si="85"/>
        <v>T</v>
      </c>
      <c r="KG6" s="19" t="str">
        <f t="shared" si="85"/>
        <v>W</v>
      </c>
      <c r="KH6" s="19" t="str">
        <f t="shared" si="85"/>
        <v>T</v>
      </c>
      <c r="KI6" s="19" t="str">
        <f t="shared" si="85"/>
        <v>F</v>
      </c>
      <c r="KJ6" s="19" t="str">
        <f t="shared" si="85"/>
        <v>S</v>
      </c>
      <c r="KK6" s="19" t="str">
        <f t="shared" si="85"/>
        <v>S</v>
      </c>
      <c r="KL6" s="19" t="str">
        <f t="shared" si="85"/>
        <v>M</v>
      </c>
      <c r="KM6" s="20" t="str">
        <f t="shared" si="85"/>
        <v>T</v>
      </c>
      <c r="KN6" s="19" t="str">
        <f t="shared" si="85"/>
        <v>W</v>
      </c>
      <c r="KO6" s="19" t="str">
        <f t="shared" si="85"/>
        <v>T</v>
      </c>
      <c r="KP6" s="19" t="str">
        <f t="shared" si="85"/>
        <v>F</v>
      </c>
      <c r="KQ6" s="19" t="str">
        <f t="shared" si="85"/>
        <v>S</v>
      </c>
      <c r="KR6" s="19" t="str">
        <f t="shared" si="85"/>
        <v>S</v>
      </c>
      <c r="KS6" s="19" t="str">
        <f t="shared" si="85"/>
        <v>M</v>
      </c>
      <c r="KT6" s="19" t="str">
        <f t="shared" si="85"/>
        <v>T</v>
      </c>
      <c r="KU6" s="19" t="str">
        <f t="shared" si="85"/>
        <v>W</v>
      </c>
      <c r="KV6" s="19" t="str">
        <f t="shared" si="85"/>
        <v>T</v>
      </c>
      <c r="KW6" s="19" t="str">
        <f t="shared" si="85"/>
        <v>F</v>
      </c>
      <c r="KX6" s="19" t="str">
        <f t="shared" si="85"/>
        <v>S</v>
      </c>
      <c r="KY6" s="19" t="str">
        <f t="shared" si="85"/>
        <v>S</v>
      </c>
      <c r="KZ6" s="19" t="str">
        <f t="shared" si="85"/>
        <v>M</v>
      </c>
      <c r="LA6" s="19" t="str">
        <f t="shared" si="85"/>
        <v>T</v>
      </c>
      <c r="LB6" s="19" t="str">
        <f t="shared" si="85"/>
        <v>W</v>
      </c>
      <c r="LC6" s="19" t="str">
        <f t="shared" si="85"/>
        <v>T</v>
      </c>
      <c r="LD6" s="19" t="str">
        <f t="shared" si="85"/>
        <v>F</v>
      </c>
      <c r="LE6" s="19" t="str">
        <f t="shared" si="85"/>
        <v>S</v>
      </c>
      <c r="LF6" s="19" t="str">
        <f t="shared" si="85"/>
        <v>S</v>
      </c>
      <c r="LG6" s="19" t="str">
        <f t="shared" si="85"/>
        <v>M</v>
      </c>
      <c r="LH6" s="19" t="str">
        <f t="shared" si="85"/>
        <v>T</v>
      </c>
      <c r="LI6" s="19" t="str">
        <f t="shared" si="85"/>
        <v>W</v>
      </c>
      <c r="LJ6" s="19" t="str">
        <f t="shared" si="85"/>
        <v>T</v>
      </c>
      <c r="LK6" s="19" t="str">
        <f t="shared" si="85"/>
        <v>F</v>
      </c>
      <c r="LL6" s="19" t="str">
        <f t="shared" si="85"/>
        <v>S</v>
      </c>
      <c r="LM6" s="19" t="str">
        <f t="shared" si="85"/>
        <v>S</v>
      </c>
      <c r="LN6" s="19" t="str">
        <f t="shared" si="85"/>
        <v>M</v>
      </c>
      <c r="LO6" s="19" t="str">
        <f t="shared" si="85"/>
        <v>T</v>
      </c>
      <c r="LP6" s="19" t="str">
        <f t="shared" si="85"/>
        <v>W</v>
      </c>
      <c r="LQ6" s="19" t="str">
        <f t="shared" si="85"/>
        <v>T</v>
      </c>
      <c r="LR6" s="19" t="str">
        <f t="shared" si="85"/>
        <v>F</v>
      </c>
      <c r="LS6" s="19" t="str">
        <f t="shared" ref="LS6:MH6" si="86">LEFT(TEXT(LS5,"ddd"),1)</f>
        <v>S</v>
      </c>
      <c r="LT6" s="19" t="str">
        <f t="shared" si="86"/>
        <v>S</v>
      </c>
      <c r="LU6" s="19" t="str">
        <f t="shared" si="86"/>
        <v>M</v>
      </c>
      <c r="LV6" s="19" t="str">
        <f t="shared" si="86"/>
        <v>T</v>
      </c>
      <c r="LW6" s="19" t="str">
        <f t="shared" si="86"/>
        <v>W</v>
      </c>
      <c r="LX6" s="19" t="str">
        <f t="shared" si="86"/>
        <v>T</v>
      </c>
      <c r="LY6" s="19" t="str">
        <f t="shared" si="86"/>
        <v>F</v>
      </c>
      <c r="LZ6" s="19" t="str">
        <f t="shared" si="86"/>
        <v>S</v>
      </c>
      <c r="MA6" s="19" t="str">
        <f t="shared" si="86"/>
        <v>S</v>
      </c>
      <c r="MB6" s="19" t="str">
        <f t="shared" si="86"/>
        <v>M</v>
      </c>
      <c r="MC6" s="19" t="str">
        <f t="shared" si="86"/>
        <v>T</v>
      </c>
      <c r="MD6" s="19" t="str">
        <f t="shared" si="86"/>
        <v>W</v>
      </c>
      <c r="ME6" s="19" t="str">
        <f t="shared" si="86"/>
        <v>T</v>
      </c>
      <c r="MF6" s="19" t="str">
        <f t="shared" si="86"/>
        <v>F</v>
      </c>
      <c r="MG6" s="19" t="str">
        <f t="shared" si="86"/>
        <v>S</v>
      </c>
      <c r="MH6" s="19" t="str">
        <f t="shared" si="86"/>
        <v>S</v>
      </c>
    </row>
    <row r="7" spans="1:353" s="28" customFormat="1" ht="21.9" customHeight="1" thickBot="1">
      <c r="A7" s="292" t="s">
        <v>170</v>
      </c>
      <c r="B7" s="291">
        <v>1.1000000000000001</v>
      </c>
      <c r="C7" s="260" t="s">
        <v>171</v>
      </c>
      <c r="D7" s="280" t="s">
        <v>172</v>
      </c>
      <c r="E7" s="77">
        <v>1</v>
      </c>
      <c r="F7" s="49">
        <v>45866</v>
      </c>
      <c r="G7" s="50">
        <v>45873</v>
      </c>
      <c r="H7" s="56" t="s">
        <v>154</v>
      </c>
      <c r="I7" s="94"/>
      <c r="J7" s="95">
        <f t="shared" ref="J7:J83" si="87">IF(OR(ISBLANK(task_start),ISBLANK(task_end)),"",task_end-task_start+1)</f>
        <v>8</v>
      </c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4"/>
      <c r="BV7" s="25"/>
      <c r="BW7" s="26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4"/>
      <c r="KL7" s="25"/>
      <c r="KM7" s="26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7"/>
    </row>
    <row r="8" spans="1:353" s="28" customFormat="1" ht="21.9" customHeight="1" thickBot="1">
      <c r="A8" s="293"/>
      <c r="B8" s="236"/>
      <c r="C8" s="238"/>
      <c r="D8" s="275"/>
      <c r="E8" s="61">
        <v>1</v>
      </c>
      <c r="F8" s="49">
        <v>45866</v>
      </c>
      <c r="G8" s="52">
        <v>45903</v>
      </c>
      <c r="H8" s="59" t="s">
        <v>158</v>
      </c>
      <c r="I8" s="21"/>
      <c r="J8" s="96">
        <f t="shared" si="87"/>
        <v>38</v>
      </c>
      <c r="K8" s="29"/>
      <c r="L8" s="30"/>
      <c r="M8" s="30"/>
      <c r="N8" s="30"/>
      <c r="O8" s="30"/>
      <c r="P8" s="41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1"/>
      <c r="BV8" s="32"/>
      <c r="BW8" s="33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1"/>
      <c r="KL8" s="32"/>
      <c r="KM8" s="33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4"/>
    </row>
    <row r="9" spans="1:353" s="28" customFormat="1" ht="21.9" customHeight="1" thickBot="1">
      <c r="A9" s="293"/>
      <c r="B9" s="236">
        <v>1.2</v>
      </c>
      <c r="C9" s="237" t="s">
        <v>173</v>
      </c>
      <c r="D9" s="274" t="s">
        <v>174</v>
      </c>
      <c r="E9" s="61">
        <v>1</v>
      </c>
      <c r="F9" s="49">
        <v>45868</v>
      </c>
      <c r="G9" s="52">
        <f>F9</f>
        <v>45868</v>
      </c>
      <c r="H9" s="60" t="s">
        <v>154</v>
      </c>
      <c r="I9" s="21"/>
      <c r="J9" s="96">
        <f t="shared" si="87"/>
        <v>1</v>
      </c>
      <c r="K9" s="29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1"/>
      <c r="BV9" s="32"/>
      <c r="BW9" s="33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1"/>
      <c r="KL9" s="32"/>
      <c r="KM9" s="33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4"/>
    </row>
    <row r="10" spans="1:353" s="28" customFormat="1" ht="21.9" customHeight="1" thickBot="1">
      <c r="A10" s="293"/>
      <c r="B10" s="236"/>
      <c r="C10" s="238"/>
      <c r="D10" s="275"/>
      <c r="E10" s="61">
        <v>1</v>
      </c>
      <c r="F10" s="49">
        <v>45868</v>
      </c>
      <c r="G10" s="52">
        <f>F10</f>
        <v>45868</v>
      </c>
      <c r="H10" s="59" t="s">
        <v>158</v>
      </c>
      <c r="I10" s="21"/>
      <c r="J10" s="96">
        <f t="shared" si="87"/>
        <v>1</v>
      </c>
      <c r="K10" s="29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1"/>
      <c r="BV10" s="32"/>
      <c r="BW10" s="33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1"/>
      <c r="KL10" s="32"/>
      <c r="KM10" s="33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4"/>
    </row>
    <row r="11" spans="1:353" s="28" customFormat="1" ht="21.9" customHeight="1" thickBot="1">
      <c r="A11" s="293"/>
      <c r="B11" s="236">
        <v>1.3</v>
      </c>
      <c r="C11" s="237" t="s">
        <v>175</v>
      </c>
      <c r="D11" s="274" t="s">
        <v>172</v>
      </c>
      <c r="E11" s="61">
        <v>1</v>
      </c>
      <c r="F11" s="51">
        <f>F9+1</f>
        <v>45869</v>
      </c>
      <c r="G11" s="52">
        <f>F11+4</f>
        <v>45873</v>
      </c>
      <c r="H11" s="60" t="s">
        <v>154</v>
      </c>
      <c r="I11" s="35"/>
      <c r="J11" s="96">
        <f t="shared" si="87"/>
        <v>5</v>
      </c>
      <c r="K11" s="29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1"/>
      <c r="BV11" s="32"/>
      <c r="BW11" s="33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1"/>
      <c r="KL11" s="32"/>
      <c r="KM11" s="33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4"/>
    </row>
    <row r="12" spans="1:353" s="28" customFormat="1" ht="21.9" customHeight="1" thickBot="1">
      <c r="A12" s="293"/>
      <c r="B12" s="236"/>
      <c r="C12" s="238"/>
      <c r="D12" s="275"/>
      <c r="E12" s="61">
        <v>1</v>
      </c>
      <c r="F12" s="51">
        <v>45873</v>
      </c>
      <c r="G12" s="52">
        <v>45883</v>
      </c>
      <c r="H12" s="59" t="s">
        <v>158</v>
      </c>
      <c r="I12" s="21"/>
      <c r="J12" s="96">
        <f t="shared" si="87"/>
        <v>11</v>
      </c>
      <c r="K12" s="29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1"/>
      <c r="BV12" s="32"/>
      <c r="BW12" s="33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1"/>
      <c r="KL12" s="32"/>
      <c r="KM12" s="33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4"/>
    </row>
    <row r="13" spans="1:353" s="28" customFormat="1" ht="21.9" customHeight="1">
      <c r="A13" s="293"/>
      <c r="B13" s="236">
        <v>1.4</v>
      </c>
      <c r="C13" s="237" t="s">
        <v>176</v>
      </c>
      <c r="D13" s="239" t="s">
        <v>177</v>
      </c>
      <c r="E13" s="61">
        <v>1</v>
      </c>
      <c r="F13" s="51">
        <v>45870</v>
      </c>
      <c r="G13" s="52">
        <f>F13+25</f>
        <v>45895</v>
      </c>
      <c r="H13" s="60" t="s">
        <v>154</v>
      </c>
      <c r="I13" s="21"/>
      <c r="J13" s="96">
        <f t="shared" si="87"/>
        <v>26</v>
      </c>
      <c r="K13" s="29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6"/>
      <c r="X13" s="36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1"/>
      <c r="BV13" s="32"/>
      <c r="BW13" s="33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1"/>
      <c r="KL13" s="32"/>
      <c r="KM13" s="33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4"/>
    </row>
    <row r="14" spans="1:353" s="28" customFormat="1" ht="21.9" customHeight="1" thickBot="1">
      <c r="A14" s="293"/>
      <c r="B14" s="236"/>
      <c r="C14" s="238"/>
      <c r="D14" s="240"/>
      <c r="E14" s="61">
        <v>0.9</v>
      </c>
      <c r="F14" s="57">
        <v>45884</v>
      </c>
      <c r="G14" s="58"/>
      <c r="H14" s="59" t="s">
        <v>158</v>
      </c>
      <c r="I14" s="21"/>
      <c r="J14" s="96" t="str">
        <f t="shared" si="87"/>
        <v/>
      </c>
      <c r="K14" s="29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6"/>
      <c r="X14" s="36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1"/>
      <c r="BV14" s="32"/>
      <c r="BW14" s="33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1"/>
      <c r="KL14" s="32"/>
      <c r="KM14" s="33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4"/>
    </row>
    <row r="15" spans="1:353" s="28" customFormat="1" ht="21.9" customHeight="1" thickBot="1">
      <c r="A15" s="293"/>
      <c r="B15" s="234">
        <v>1.7</v>
      </c>
      <c r="C15" s="232" t="s">
        <v>178</v>
      </c>
      <c r="D15" s="230" t="s">
        <v>174</v>
      </c>
      <c r="E15" s="61">
        <v>1</v>
      </c>
      <c r="F15" s="51">
        <f>G13</f>
        <v>45895</v>
      </c>
      <c r="G15" s="52">
        <f>F15+3</f>
        <v>45898</v>
      </c>
      <c r="H15" s="60" t="s">
        <v>154</v>
      </c>
      <c r="I15" s="21"/>
      <c r="J15" s="96">
        <f t="shared" si="87"/>
        <v>4</v>
      </c>
      <c r="K15" s="2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6"/>
      <c r="X15" s="36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1"/>
      <c r="BV15" s="32"/>
      <c r="BW15" s="33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1"/>
      <c r="KL15" s="32"/>
      <c r="KM15" s="33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4"/>
    </row>
    <row r="16" spans="1:353" s="28" customFormat="1" ht="21.9" customHeight="1">
      <c r="A16" s="293"/>
      <c r="B16" s="234"/>
      <c r="C16" s="233"/>
      <c r="D16" s="231"/>
      <c r="E16" s="61">
        <v>1</v>
      </c>
      <c r="F16" s="51">
        <v>45915</v>
      </c>
      <c r="G16" s="51">
        <v>45926</v>
      </c>
      <c r="H16" s="59" t="s">
        <v>158</v>
      </c>
      <c r="I16" s="21"/>
      <c r="J16" s="96">
        <f t="shared" si="87"/>
        <v>12</v>
      </c>
      <c r="K16" s="2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6"/>
      <c r="X16" s="36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1"/>
      <c r="BV16" s="32"/>
      <c r="BW16" s="33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1"/>
      <c r="KL16" s="32"/>
      <c r="KM16" s="33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4"/>
    </row>
    <row r="17" spans="1:346" s="28" customFormat="1" ht="21.9" customHeight="1" thickBot="1">
      <c r="A17" s="293"/>
      <c r="B17" s="236">
        <v>1.6</v>
      </c>
      <c r="C17" s="237" t="s">
        <v>179</v>
      </c>
      <c r="D17" s="239" t="s">
        <v>177</v>
      </c>
      <c r="E17" s="61">
        <v>1</v>
      </c>
      <c r="F17" s="51">
        <f>F13+10</f>
        <v>45880</v>
      </c>
      <c r="G17" s="52">
        <f>F17+30</f>
        <v>45910</v>
      </c>
      <c r="H17" s="60" t="s">
        <v>154</v>
      </c>
      <c r="I17" s="21"/>
      <c r="J17" s="96">
        <f t="shared" si="87"/>
        <v>31</v>
      </c>
      <c r="K17" s="2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6"/>
      <c r="X17" s="36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1"/>
      <c r="BV17" s="32"/>
      <c r="BW17" s="33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1"/>
      <c r="KL17" s="32"/>
      <c r="KM17" s="33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4"/>
    </row>
    <row r="18" spans="1:346" s="28" customFormat="1" ht="21.9" customHeight="1" thickBot="1">
      <c r="A18" s="293"/>
      <c r="B18" s="236"/>
      <c r="C18" s="238"/>
      <c r="D18" s="240"/>
      <c r="E18" s="61">
        <v>1</v>
      </c>
      <c r="F18" s="51">
        <v>45888</v>
      </c>
      <c r="G18" s="52">
        <v>45914</v>
      </c>
      <c r="H18" s="59" t="s">
        <v>158</v>
      </c>
      <c r="I18" s="21"/>
      <c r="J18" s="96">
        <f t="shared" si="87"/>
        <v>27</v>
      </c>
      <c r="K18" s="2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6"/>
      <c r="X18" s="36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1"/>
      <c r="BV18" s="32"/>
      <c r="BW18" s="33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1"/>
      <c r="KL18" s="32"/>
      <c r="KM18" s="33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4"/>
    </row>
    <row r="19" spans="1:346" s="28" customFormat="1" ht="21.9" customHeight="1" thickBot="1">
      <c r="A19" s="293"/>
      <c r="B19" s="234">
        <v>1.7</v>
      </c>
      <c r="C19" s="232" t="s">
        <v>180</v>
      </c>
      <c r="D19" s="230" t="s">
        <v>174</v>
      </c>
      <c r="E19" s="61">
        <v>1</v>
      </c>
      <c r="F19" s="51">
        <f>G17-2</f>
        <v>45908</v>
      </c>
      <c r="G19" s="52">
        <f>F19+4</f>
        <v>45912</v>
      </c>
      <c r="H19" s="60" t="s">
        <v>154</v>
      </c>
      <c r="I19" s="21"/>
      <c r="J19" s="96">
        <f t="shared" si="87"/>
        <v>5</v>
      </c>
      <c r="K19" s="2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6"/>
      <c r="X19" s="36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1"/>
      <c r="BV19" s="32"/>
      <c r="BW19" s="33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1"/>
      <c r="KL19" s="32"/>
      <c r="KM19" s="33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4"/>
    </row>
    <row r="20" spans="1:346" s="28" customFormat="1" ht="21.9" customHeight="1" thickBot="1">
      <c r="A20" s="293"/>
      <c r="B20" s="234"/>
      <c r="C20" s="233"/>
      <c r="D20" s="231"/>
      <c r="E20" s="61">
        <v>1</v>
      </c>
      <c r="F20" s="62">
        <v>45915</v>
      </c>
      <c r="G20" s="63">
        <v>45926</v>
      </c>
      <c r="H20" s="59" t="s">
        <v>158</v>
      </c>
      <c r="I20" s="21"/>
      <c r="J20" s="96">
        <f t="shared" si="87"/>
        <v>12</v>
      </c>
      <c r="K20" s="2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6"/>
      <c r="X20" s="36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1"/>
      <c r="BV20" s="32"/>
      <c r="BW20" s="33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1"/>
      <c r="KL20" s="32"/>
      <c r="KM20" s="33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4"/>
    </row>
    <row r="21" spans="1:346" s="28" customFormat="1" ht="21.9" customHeight="1" thickBot="1">
      <c r="A21" s="293"/>
      <c r="B21" s="236">
        <v>1.8</v>
      </c>
      <c r="C21" s="237" t="s">
        <v>181</v>
      </c>
      <c r="D21" s="274" t="s">
        <v>174</v>
      </c>
      <c r="E21" s="61">
        <v>1</v>
      </c>
      <c r="F21" s="57">
        <f>F17</f>
        <v>45880</v>
      </c>
      <c r="G21" s="58">
        <f>F21+40</f>
        <v>45920</v>
      </c>
      <c r="H21" s="60" t="s">
        <v>154</v>
      </c>
      <c r="I21" s="21"/>
      <c r="J21" s="96">
        <f t="shared" si="87"/>
        <v>41</v>
      </c>
      <c r="K21" s="2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6"/>
      <c r="X21" s="36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1"/>
      <c r="BV21" s="32"/>
      <c r="BW21" s="33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1"/>
      <c r="KL21" s="32"/>
      <c r="KM21" s="33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4"/>
    </row>
    <row r="22" spans="1:346" s="28" customFormat="1" ht="21.9" customHeight="1" thickBot="1">
      <c r="A22" s="293"/>
      <c r="B22" s="236"/>
      <c r="C22" s="238"/>
      <c r="D22" s="275"/>
      <c r="E22" s="61">
        <v>1</v>
      </c>
      <c r="F22" s="57"/>
      <c r="G22" s="58"/>
      <c r="H22" s="59" t="s">
        <v>158</v>
      </c>
      <c r="I22" s="21"/>
      <c r="J22" s="96" t="str">
        <f t="shared" si="87"/>
        <v/>
      </c>
      <c r="K22" s="2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6"/>
      <c r="X22" s="36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1"/>
      <c r="BV22" s="32"/>
      <c r="BW22" s="33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1"/>
      <c r="KL22" s="32"/>
      <c r="KM22" s="33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4"/>
    </row>
    <row r="23" spans="1:346" s="28" customFormat="1" ht="21.9" customHeight="1" thickBot="1">
      <c r="A23" s="293"/>
      <c r="B23" s="236">
        <v>1.9</v>
      </c>
      <c r="C23" s="237" t="s">
        <v>182</v>
      </c>
      <c r="D23" s="239" t="s">
        <v>177</v>
      </c>
      <c r="E23" s="61">
        <v>1</v>
      </c>
      <c r="F23" s="57">
        <v>45901</v>
      </c>
      <c r="G23" s="58">
        <v>45960</v>
      </c>
      <c r="H23" s="60" t="s">
        <v>154</v>
      </c>
      <c r="I23" s="21"/>
      <c r="J23" s="96">
        <f t="shared" si="87"/>
        <v>60</v>
      </c>
      <c r="K23" s="2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6"/>
      <c r="X23" s="36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1"/>
      <c r="BV23" s="32"/>
      <c r="BW23" s="33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1"/>
      <c r="KL23" s="32"/>
      <c r="KM23" s="33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4"/>
    </row>
    <row r="24" spans="1:346" s="28" customFormat="1" ht="21.9" customHeight="1" thickBot="1">
      <c r="A24" s="293"/>
      <c r="B24" s="236"/>
      <c r="C24" s="238"/>
      <c r="D24" s="240"/>
      <c r="E24" s="61">
        <v>0.9</v>
      </c>
      <c r="F24" s="57">
        <v>45915</v>
      </c>
      <c r="G24" s="58"/>
      <c r="H24" s="59" t="s">
        <v>158</v>
      </c>
      <c r="I24" s="21"/>
      <c r="J24" s="96" t="str">
        <f t="shared" si="87"/>
        <v/>
      </c>
      <c r="K24" s="2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6"/>
      <c r="X24" s="36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1"/>
      <c r="BV24" s="32"/>
      <c r="BW24" s="33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1"/>
      <c r="KL24" s="32"/>
      <c r="KM24" s="33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4"/>
    </row>
    <row r="25" spans="1:346" s="28" customFormat="1" ht="21.9" customHeight="1" thickBot="1">
      <c r="A25" s="293"/>
      <c r="B25" s="235" t="s">
        <v>183</v>
      </c>
      <c r="C25" s="237" t="s">
        <v>184</v>
      </c>
      <c r="D25" s="239" t="s">
        <v>177</v>
      </c>
      <c r="E25" s="61">
        <v>1</v>
      </c>
      <c r="F25" s="57">
        <f>G19</f>
        <v>45912</v>
      </c>
      <c r="G25" s="58">
        <f>F25+28</f>
        <v>45940</v>
      </c>
      <c r="H25" s="60" t="s">
        <v>154</v>
      </c>
      <c r="I25" s="21"/>
      <c r="J25" s="96">
        <f t="shared" si="87"/>
        <v>29</v>
      </c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6"/>
      <c r="X25" s="36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1"/>
      <c r="BV25" s="32"/>
      <c r="BW25" s="33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1"/>
      <c r="KL25" s="32"/>
      <c r="KM25" s="33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4"/>
    </row>
    <row r="26" spans="1:346" s="28" customFormat="1" ht="21.9" customHeight="1" thickBot="1">
      <c r="A26" s="293"/>
      <c r="B26" s="236"/>
      <c r="C26" s="238"/>
      <c r="D26" s="240"/>
      <c r="E26" s="61">
        <v>0.9</v>
      </c>
      <c r="F26" s="57">
        <v>45928</v>
      </c>
      <c r="G26" s="58"/>
      <c r="H26" s="59" t="s">
        <v>158</v>
      </c>
      <c r="I26" s="21"/>
      <c r="J26" s="96" t="str">
        <f t="shared" si="87"/>
        <v/>
      </c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6"/>
      <c r="X26" s="36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1"/>
      <c r="BV26" s="32"/>
      <c r="BW26" s="33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1"/>
      <c r="KL26" s="32"/>
      <c r="KM26" s="33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34"/>
    </row>
    <row r="27" spans="1:346" s="28" customFormat="1" ht="21.9" customHeight="1" thickBot="1">
      <c r="A27" s="293"/>
      <c r="B27" s="234">
        <v>1.1100000000000001</v>
      </c>
      <c r="C27" s="232" t="s">
        <v>185</v>
      </c>
      <c r="D27" s="230" t="s">
        <v>174</v>
      </c>
      <c r="E27" s="61">
        <v>1</v>
      </c>
      <c r="F27" s="62">
        <f>G25+3</f>
        <v>45943</v>
      </c>
      <c r="G27" s="63">
        <f>F27+4</f>
        <v>45947</v>
      </c>
      <c r="H27" s="60" t="s">
        <v>154</v>
      </c>
      <c r="I27" s="21"/>
      <c r="J27" s="96">
        <f t="shared" si="87"/>
        <v>5</v>
      </c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6"/>
      <c r="X27" s="36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1"/>
      <c r="BV27" s="32"/>
      <c r="BW27" s="33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1"/>
      <c r="KL27" s="32"/>
      <c r="KM27" s="33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4"/>
    </row>
    <row r="28" spans="1:346" s="28" customFormat="1" ht="21.9" customHeight="1" thickBot="1">
      <c r="A28" s="293"/>
      <c r="B28" s="234"/>
      <c r="C28" s="233"/>
      <c r="D28" s="231"/>
      <c r="E28" s="61">
        <v>1</v>
      </c>
      <c r="F28" s="62">
        <v>45945</v>
      </c>
      <c r="G28" s="62">
        <v>45969</v>
      </c>
      <c r="H28" s="59" t="s">
        <v>158</v>
      </c>
      <c r="I28" s="21"/>
      <c r="J28" s="96">
        <f t="shared" si="87"/>
        <v>25</v>
      </c>
      <c r="K28" s="2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6"/>
      <c r="X28" s="36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1"/>
      <c r="BV28" s="32"/>
      <c r="BW28" s="33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1"/>
      <c r="KL28" s="32"/>
      <c r="KM28" s="33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4"/>
    </row>
    <row r="29" spans="1:346" s="28" customFormat="1" ht="21.9" customHeight="1" thickBot="1">
      <c r="A29" s="293"/>
      <c r="B29" s="235" t="s">
        <v>186</v>
      </c>
      <c r="C29" s="237" t="s">
        <v>187</v>
      </c>
      <c r="D29" s="239" t="s">
        <v>177</v>
      </c>
      <c r="E29" s="61">
        <v>1</v>
      </c>
      <c r="F29" s="57">
        <f>G27+3</f>
        <v>45950</v>
      </c>
      <c r="G29" s="58">
        <f>F29+41</f>
        <v>45991</v>
      </c>
      <c r="H29" s="60" t="s">
        <v>154</v>
      </c>
      <c r="I29" s="21"/>
      <c r="J29" s="96">
        <f t="shared" si="87"/>
        <v>42</v>
      </c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1"/>
      <c r="BV29" s="32"/>
      <c r="BW29" s="33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1"/>
      <c r="KL29" s="32"/>
      <c r="KM29" s="33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4"/>
    </row>
    <row r="30" spans="1:346" s="28" customFormat="1" ht="21.9" customHeight="1" thickBot="1">
      <c r="A30" s="293"/>
      <c r="B30" s="236"/>
      <c r="C30" s="238"/>
      <c r="D30" s="240"/>
      <c r="E30" s="61">
        <v>0.81</v>
      </c>
      <c r="F30" s="57">
        <v>45960</v>
      </c>
      <c r="G30" s="57"/>
      <c r="H30" s="59" t="s">
        <v>158</v>
      </c>
      <c r="I30" s="21"/>
      <c r="J30" s="96" t="str">
        <f t="shared" si="87"/>
        <v/>
      </c>
      <c r="K30" s="2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1"/>
      <c r="BV30" s="32"/>
      <c r="BW30" s="33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1"/>
      <c r="KL30" s="32"/>
      <c r="KM30" s="33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4"/>
    </row>
    <row r="31" spans="1:346" s="28" customFormat="1" ht="21.9" customHeight="1" thickBot="1">
      <c r="A31" s="293"/>
      <c r="B31" s="235" t="s">
        <v>188</v>
      </c>
      <c r="C31" s="237" t="s">
        <v>189</v>
      </c>
      <c r="D31" s="239" t="s">
        <v>177</v>
      </c>
      <c r="E31" s="61">
        <v>1</v>
      </c>
      <c r="F31" s="57">
        <f>F27</f>
        <v>45943</v>
      </c>
      <c r="G31" s="58">
        <f>F31+45</f>
        <v>45988</v>
      </c>
      <c r="H31" s="60" t="s">
        <v>154</v>
      </c>
      <c r="I31" s="21"/>
      <c r="J31" s="96">
        <f t="shared" si="87"/>
        <v>46</v>
      </c>
      <c r="K31" s="2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1"/>
      <c r="BV31" s="32"/>
      <c r="BW31" s="33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1"/>
      <c r="KL31" s="32"/>
      <c r="KM31" s="33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4"/>
    </row>
    <row r="32" spans="1:346" s="28" customFormat="1" ht="21.9" customHeight="1" thickBot="1">
      <c r="A32" s="293"/>
      <c r="B32" s="236"/>
      <c r="C32" s="238"/>
      <c r="D32" s="240"/>
      <c r="E32" s="61">
        <v>0.95</v>
      </c>
      <c r="F32" s="57">
        <f>F28</f>
        <v>45945</v>
      </c>
      <c r="G32" s="57"/>
      <c r="H32" s="59" t="s">
        <v>158</v>
      </c>
      <c r="I32" s="21"/>
      <c r="J32" s="96" t="str">
        <f t="shared" si="87"/>
        <v/>
      </c>
      <c r="K32" s="29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1"/>
      <c r="BV32" s="32"/>
      <c r="BW32" s="33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1"/>
      <c r="KL32" s="32"/>
      <c r="KM32" s="33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4"/>
    </row>
    <row r="33" spans="1:346" s="28" customFormat="1" ht="21.9" customHeight="1" thickBot="1">
      <c r="A33" s="293"/>
      <c r="B33" s="235" t="s">
        <v>190</v>
      </c>
      <c r="C33" s="237" t="s">
        <v>191</v>
      </c>
      <c r="D33" s="239" t="s">
        <v>177</v>
      </c>
      <c r="E33" s="61">
        <v>0.26</v>
      </c>
      <c r="F33" s="57">
        <f>G31-3</f>
        <v>45985</v>
      </c>
      <c r="G33" s="58">
        <f>F33+60</f>
        <v>46045</v>
      </c>
      <c r="H33" s="60" t="s">
        <v>154</v>
      </c>
      <c r="I33" s="21"/>
      <c r="J33" s="96">
        <f t="shared" si="87"/>
        <v>61</v>
      </c>
      <c r="K33" s="2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1"/>
      <c r="BV33" s="32"/>
      <c r="BW33" s="33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1"/>
      <c r="KL33" s="32"/>
      <c r="KM33" s="33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4"/>
    </row>
    <row r="34" spans="1:346" s="28" customFormat="1" ht="21.9" customHeight="1" thickBot="1">
      <c r="A34" s="293"/>
      <c r="B34" s="236"/>
      <c r="C34" s="238"/>
      <c r="D34" s="240"/>
      <c r="E34" s="61">
        <v>0.03</v>
      </c>
      <c r="F34" s="82">
        <v>46013</v>
      </c>
      <c r="G34" s="83"/>
      <c r="H34" s="59" t="s">
        <v>158</v>
      </c>
      <c r="I34" s="21"/>
      <c r="J34" s="96" t="str">
        <f t="shared" si="87"/>
        <v/>
      </c>
      <c r="K34" s="29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1"/>
      <c r="BV34" s="32"/>
      <c r="BW34" s="33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1"/>
      <c r="KL34" s="32"/>
      <c r="KM34" s="33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4"/>
    </row>
    <row r="35" spans="1:346" s="28" customFormat="1" ht="21.9" customHeight="1" thickBot="1">
      <c r="A35" s="293"/>
      <c r="B35" s="234">
        <v>1.1499999999999999</v>
      </c>
      <c r="C35" s="232" t="s">
        <v>192</v>
      </c>
      <c r="D35" s="230" t="s">
        <v>174</v>
      </c>
      <c r="E35" s="61">
        <v>1</v>
      </c>
      <c r="F35" s="62">
        <f>G31+4</f>
        <v>45992</v>
      </c>
      <c r="G35" s="63">
        <f>F35+4</f>
        <v>45996</v>
      </c>
      <c r="H35" s="60" t="s">
        <v>154</v>
      </c>
      <c r="I35" s="21"/>
      <c r="J35" s="96">
        <f t="shared" si="87"/>
        <v>5</v>
      </c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1"/>
      <c r="BV35" s="32"/>
      <c r="BW35" s="33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1"/>
      <c r="KL35" s="32"/>
      <c r="KM35" s="33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30"/>
      <c r="MC35" s="30"/>
      <c r="MD35" s="30"/>
      <c r="ME35" s="30"/>
      <c r="MF35" s="30"/>
      <c r="MG35" s="30"/>
      <c r="MH35" s="34"/>
    </row>
    <row r="36" spans="1:346" s="28" customFormat="1" ht="21.9" customHeight="1" thickBot="1">
      <c r="A36" s="294"/>
      <c r="B36" s="256"/>
      <c r="C36" s="257"/>
      <c r="D36" s="261"/>
      <c r="E36" s="64">
        <v>1</v>
      </c>
      <c r="F36" s="67">
        <v>45999</v>
      </c>
      <c r="G36" s="68">
        <v>46001</v>
      </c>
      <c r="H36" s="69" t="s">
        <v>158</v>
      </c>
      <c r="I36" s="100"/>
      <c r="J36" s="98">
        <f t="shared" si="87"/>
        <v>3</v>
      </c>
      <c r="K36" s="29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1"/>
      <c r="BV36" s="32"/>
      <c r="BW36" s="33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1"/>
      <c r="KL36" s="32"/>
      <c r="KM36" s="33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4"/>
    </row>
    <row r="37" spans="1:346" s="28" customFormat="1" ht="21.9" customHeight="1" thickBot="1">
      <c r="A37" s="282" t="s">
        <v>193</v>
      </c>
      <c r="B37" s="259">
        <v>2.1</v>
      </c>
      <c r="C37" s="260" t="s">
        <v>194</v>
      </c>
      <c r="D37" s="285" t="s">
        <v>177</v>
      </c>
      <c r="E37" s="77">
        <v>1</v>
      </c>
      <c r="F37" s="54">
        <f>F25+3</f>
        <v>45915</v>
      </c>
      <c r="G37" s="55">
        <f>F37+45</f>
        <v>45960</v>
      </c>
      <c r="H37" s="56" t="s">
        <v>154</v>
      </c>
      <c r="I37" s="94"/>
      <c r="J37" s="95">
        <f t="shared" si="87"/>
        <v>46</v>
      </c>
      <c r="K37" s="29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6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1"/>
      <c r="BV37" s="32"/>
      <c r="BW37" s="33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6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1"/>
      <c r="KL37" s="32"/>
      <c r="KM37" s="33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4"/>
    </row>
    <row r="38" spans="1:346" s="28" customFormat="1" ht="21.9" customHeight="1" thickBot="1">
      <c r="A38" s="283"/>
      <c r="B38" s="236"/>
      <c r="C38" s="238"/>
      <c r="D38" s="240"/>
      <c r="E38" s="61">
        <v>1</v>
      </c>
      <c r="F38" s="57">
        <v>45930</v>
      </c>
      <c r="G38" s="57"/>
      <c r="H38" s="59" t="s">
        <v>158</v>
      </c>
      <c r="I38" s="21"/>
      <c r="J38" s="96" t="str">
        <f t="shared" si="87"/>
        <v/>
      </c>
      <c r="K38" s="29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6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1"/>
      <c r="BV38" s="32"/>
      <c r="BW38" s="33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6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1"/>
      <c r="KL38" s="32"/>
      <c r="KM38" s="33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0"/>
      <c r="LF38" s="30"/>
      <c r="LG38" s="30"/>
      <c r="LH38" s="30"/>
      <c r="LI38" s="30"/>
      <c r="LJ38" s="30"/>
      <c r="LK38" s="30"/>
      <c r="LL38" s="30"/>
      <c r="LM38" s="30"/>
      <c r="LN38" s="30"/>
      <c r="LO38" s="30"/>
      <c r="LP38" s="30"/>
      <c r="LQ38" s="30"/>
      <c r="LR38" s="30"/>
      <c r="LS38" s="30"/>
      <c r="LT38" s="30"/>
      <c r="LU38" s="30"/>
      <c r="LV38" s="30"/>
      <c r="LW38" s="30"/>
      <c r="LX38" s="30"/>
      <c r="LY38" s="30"/>
      <c r="LZ38" s="30"/>
      <c r="MA38" s="30"/>
      <c r="MB38" s="30"/>
      <c r="MC38" s="30"/>
      <c r="MD38" s="30"/>
      <c r="ME38" s="30"/>
      <c r="MF38" s="30"/>
      <c r="MG38" s="30"/>
      <c r="MH38" s="34"/>
    </row>
    <row r="39" spans="1:346" s="28" customFormat="1" ht="21.9" customHeight="1" thickBot="1">
      <c r="A39" s="283"/>
      <c r="B39" s="235">
        <v>2.2000000000000002</v>
      </c>
      <c r="C39" s="237" t="s">
        <v>195</v>
      </c>
      <c r="D39" s="281" t="s">
        <v>177</v>
      </c>
      <c r="E39" s="61">
        <v>1</v>
      </c>
      <c r="F39" s="57">
        <f>G37</f>
        <v>45960</v>
      </c>
      <c r="G39" s="58">
        <f>F39+15</f>
        <v>45975</v>
      </c>
      <c r="H39" s="60" t="s">
        <v>154</v>
      </c>
      <c r="I39" s="21"/>
      <c r="J39" s="96">
        <f t="shared" si="87"/>
        <v>16</v>
      </c>
      <c r="K39" s="29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6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1"/>
      <c r="BV39" s="32"/>
      <c r="BW39" s="33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6"/>
      <c r="IR39" s="30"/>
      <c r="IS39" s="30"/>
      <c r="IT39" s="30"/>
      <c r="IU39" s="30"/>
      <c r="IV39" s="30"/>
      <c r="IW39" s="30"/>
      <c r="IX39" s="30"/>
      <c r="IY39" s="30"/>
      <c r="IZ39" s="30"/>
      <c r="JA39" s="30"/>
      <c r="JB39" s="30"/>
      <c r="JC39" s="30"/>
      <c r="JD39" s="30"/>
      <c r="JE39" s="30"/>
      <c r="JF39" s="30"/>
      <c r="JG39" s="30"/>
      <c r="JH39" s="30"/>
      <c r="JI39" s="30"/>
      <c r="JJ39" s="30"/>
      <c r="JK39" s="30"/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0"/>
      <c r="KA39" s="30"/>
      <c r="KB39" s="30"/>
      <c r="KC39" s="30"/>
      <c r="KD39" s="30"/>
      <c r="KE39" s="30"/>
      <c r="KF39" s="30"/>
      <c r="KG39" s="30"/>
      <c r="KH39" s="30"/>
      <c r="KI39" s="30"/>
      <c r="KJ39" s="30"/>
      <c r="KK39" s="31"/>
      <c r="KL39" s="32"/>
      <c r="KM39" s="33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0"/>
      <c r="LF39" s="30"/>
      <c r="LG39" s="30"/>
      <c r="LH39" s="30"/>
      <c r="LI39" s="30"/>
      <c r="LJ39" s="30"/>
      <c r="LK39" s="30"/>
      <c r="LL39" s="30"/>
      <c r="LM39" s="30"/>
      <c r="LN39" s="30"/>
      <c r="LO39" s="30"/>
      <c r="LP39" s="30"/>
      <c r="LQ39" s="30"/>
      <c r="LR39" s="30"/>
      <c r="LS39" s="30"/>
      <c r="LT39" s="30"/>
      <c r="LU39" s="30"/>
      <c r="LV39" s="30"/>
      <c r="LW39" s="30"/>
      <c r="LX39" s="30"/>
      <c r="LY39" s="30"/>
      <c r="LZ39" s="30"/>
      <c r="MA39" s="30"/>
      <c r="MB39" s="30"/>
      <c r="MC39" s="30"/>
      <c r="MD39" s="30"/>
      <c r="ME39" s="30"/>
      <c r="MF39" s="30"/>
      <c r="MG39" s="30"/>
      <c r="MH39" s="34"/>
    </row>
    <row r="40" spans="1:346" s="28" customFormat="1" ht="21.9" customHeight="1" thickBot="1">
      <c r="A40" s="283"/>
      <c r="B40" s="236"/>
      <c r="C40" s="238"/>
      <c r="D40" s="240"/>
      <c r="E40" s="61">
        <v>0.8</v>
      </c>
      <c r="F40" s="57">
        <v>45975</v>
      </c>
      <c r="G40" s="58"/>
      <c r="H40" s="59" t="s">
        <v>158</v>
      </c>
      <c r="I40" s="21"/>
      <c r="J40" s="96" t="str">
        <f t="shared" si="87"/>
        <v/>
      </c>
      <c r="K40" s="29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6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1"/>
      <c r="BV40" s="32"/>
      <c r="BW40" s="33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6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1"/>
      <c r="KL40" s="32"/>
      <c r="KM40" s="33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30"/>
      <c r="MB40" s="30"/>
      <c r="MC40" s="30"/>
      <c r="MD40" s="30"/>
      <c r="ME40" s="30"/>
      <c r="MF40" s="30"/>
      <c r="MG40" s="30"/>
      <c r="MH40" s="34"/>
    </row>
    <row r="41" spans="1:346" s="28" customFormat="1" ht="21.9" customHeight="1" thickBot="1">
      <c r="A41" s="283"/>
      <c r="B41" s="245">
        <v>2.2999999999999998</v>
      </c>
      <c r="C41" s="232" t="s">
        <v>196</v>
      </c>
      <c r="D41" s="230" t="s">
        <v>174</v>
      </c>
      <c r="E41" s="61">
        <v>1</v>
      </c>
      <c r="F41" s="62">
        <f>G39+1</f>
        <v>45976</v>
      </c>
      <c r="G41" s="63">
        <f>F41+7</f>
        <v>45983</v>
      </c>
      <c r="H41" s="60" t="s">
        <v>154</v>
      </c>
      <c r="I41" s="21"/>
      <c r="J41" s="96">
        <f t="shared" si="87"/>
        <v>8</v>
      </c>
      <c r="K41" s="29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6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1"/>
      <c r="BV41" s="32"/>
      <c r="BW41" s="33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6"/>
      <c r="IR41" s="30"/>
      <c r="IS41" s="30"/>
      <c r="IT41" s="30"/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/>
      <c r="KB41" s="30"/>
      <c r="KC41" s="30"/>
      <c r="KD41" s="30"/>
      <c r="KE41" s="30"/>
      <c r="KF41" s="30"/>
      <c r="KG41" s="30"/>
      <c r="KH41" s="30"/>
      <c r="KI41" s="30"/>
      <c r="KJ41" s="30"/>
      <c r="KK41" s="31"/>
      <c r="KL41" s="32"/>
      <c r="KM41" s="33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0"/>
      <c r="LN41" s="30"/>
      <c r="LO41" s="30"/>
      <c r="LP41" s="30"/>
      <c r="LQ41" s="30"/>
      <c r="LR41" s="30"/>
      <c r="LS41" s="30"/>
      <c r="LT41" s="30"/>
      <c r="LU41" s="30"/>
      <c r="LV41" s="30"/>
      <c r="LW41" s="30"/>
      <c r="LX41" s="30"/>
      <c r="LY41" s="30"/>
      <c r="LZ41" s="30"/>
      <c r="MA41" s="30"/>
      <c r="MB41" s="30"/>
      <c r="MC41" s="30"/>
      <c r="MD41" s="30"/>
      <c r="ME41" s="30"/>
      <c r="MF41" s="30"/>
      <c r="MG41" s="30"/>
      <c r="MH41" s="34"/>
    </row>
    <row r="42" spans="1:346" s="28" customFormat="1" ht="21.9" customHeight="1" thickBot="1">
      <c r="A42" s="283"/>
      <c r="B42" s="234"/>
      <c r="C42" s="233"/>
      <c r="D42" s="231"/>
      <c r="E42" s="61">
        <v>0.8</v>
      </c>
      <c r="F42" s="57">
        <v>45975</v>
      </c>
      <c r="G42" s="63"/>
      <c r="H42" s="59" t="s">
        <v>158</v>
      </c>
      <c r="I42" s="21"/>
      <c r="J42" s="96" t="str">
        <f t="shared" si="87"/>
        <v/>
      </c>
      <c r="K42" s="29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6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1"/>
      <c r="BV42" s="32"/>
      <c r="BW42" s="33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6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1"/>
      <c r="KL42" s="32"/>
      <c r="KM42" s="33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0"/>
      <c r="LP42" s="30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0"/>
      <c r="MC42" s="30"/>
      <c r="MD42" s="30"/>
      <c r="ME42" s="30"/>
      <c r="MF42" s="30"/>
      <c r="MG42" s="30"/>
      <c r="MH42" s="34"/>
    </row>
    <row r="43" spans="1:346" s="28" customFormat="1" ht="21.9" customHeight="1" thickBot="1">
      <c r="A43" s="283"/>
      <c r="B43" s="235">
        <v>2.4</v>
      </c>
      <c r="C43" s="237" t="s">
        <v>197</v>
      </c>
      <c r="D43" s="239" t="s">
        <v>177</v>
      </c>
      <c r="E43" s="61">
        <v>0</v>
      </c>
      <c r="F43" s="57">
        <f>G41+1</f>
        <v>45984</v>
      </c>
      <c r="G43" s="58">
        <f>F43+50</f>
        <v>46034</v>
      </c>
      <c r="H43" s="60" t="s">
        <v>154</v>
      </c>
      <c r="I43" s="21"/>
      <c r="J43" s="96">
        <f t="shared" si="87"/>
        <v>51</v>
      </c>
      <c r="K43" s="29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6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1"/>
      <c r="BV43" s="32"/>
      <c r="BW43" s="33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6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1"/>
      <c r="KL43" s="32"/>
      <c r="KM43" s="33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4"/>
    </row>
    <row r="44" spans="1:346" s="28" customFormat="1" ht="21.9" customHeight="1" thickBot="1">
      <c r="A44" s="283"/>
      <c r="B44" s="236"/>
      <c r="C44" s="238"/>
      <c r="D44" s="240"/>
      <c r="E44" s="61">
        <v>0</v>
      </c>
      <c r="F44" s="57"/>
      <c r="G44" s="58"/>
      <c r="H44" s="59" t="s">
        <v>158</v>
      </c>
      <c r="I44" s="21"/>
      <c r="J44" s="96" t="str">
        <f t="shared" si="87"/>
        <v/>
      </c>
      <c r="K44" s="29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6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1"/>
      <c r="BV44" s="32"/>
      <c r="BW44" s="33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6"/>
      <c r="IR44" s="30"/>
      <c r="IS44" s="30"/>
      <c r="IT44" s="30"/>
      <c r="IU44" s="30"/>
      <c r="IV44" s="30"/>
      <c r="IW44" s="30"/>
      <c r="IX44" s="30"/>
      <c r="IY44" s="30"/>
      <c r="IZ44" s="30"/>
      <c r="JA44" s="30"/>
      <c r="JB44" s="30"/>
      <c r="JC44" s="30"/>
      <c r="JD44" s="30"/>
      <c r="JE44" s="30"/>
      <c r="JF44" s="30"/>
      <c r="JG44" s="30"/>
      <c r="JH44" s="30"/>
      <c r="JI44" s="30"/>
      <c r="JJ44" s="30"/>
      <c r="JK44" s="30"/>
      <c r="JL44" s="30"/>
      <c r="JM44" s="30"/>
      <c r="JN44" s="30"/>
      <c r="JO44" s="30"/>
      <c r="JP44" s="30"/>
      <c r="JQ44" s="30"/>
      <c r="JR44" s="30"/>
      <c r="JS44" s="30"/>
      <c r="JT44" s="30"/>
      <c r="JU44" s="30"/>
      <c r="JV44" s="30"/>
      <c r="JW44" s="30"/>
      <c r="JX44" s="30"/>
      <c r="JY44" s="30"/>
      <c r="JZ44" s="30"/>
      <c r="KA44" s="30"/>
      <c r="KB44" s="30"/>
      <c r="KC44" s="30"/>
      <c r="KD44" s="30"/>
      <c r="KE44" s="30"/>
      <c r="KF44" s="30"/>
      <c r="KG44" s="30"/>
      <c r="KH44" s="30"/>
      <c r="KI44" s="30"/>
      <c r="KJ44" s="30"/>
      <c r="KK44" s="31"/>
      <c r="KL44" s="32"/>
      <c r="KM44" s="33"/>
      <c r="KN44" s="30"/>
      <c r="KO44" s="30"/>
      <c r="KP44" s="30"/>
      <c r="KQ44" s="30"/>
      <c r="KR44" s="30"/>
      <c r="KS44" s="30"/>
      <c r="KT44" s="30"/>
      <c r="KU44" s="30"/>
      <c r="KV44" s="30"/>
      <c r="KW44" s="30"/>
      <c r="KX44" s="30"/>
      <c r="KY44" s="30"/>
      <c r="KZ44" s="30"/>
      <c r="LA44" s="30"/>
      <c r="LB44" s="30"/>
      <c r="LC44" s="30"/>
      <c r="LD44" s="30"/>
      <c r="LE44" s="30"/>
      <c r="LF44" s="30"/>
      <c r="LG44" s="30"/>
      <c r="LH44" s="30"/>
      <c r="LI44" s="30"/>
      <c r="LJ44" s="30"/>
      <c r="LK44" s="30"/>
      <c r="LL44" s="30"/>
      <c r="LM44" s="30"/>
      <c r="LN44" s="30"/>
      <c r="LO44" s="30"/>
      <c r="LP44" s="30"/>
      <c r="LQ44" s="30"/>
      <c r="LR44" s="30"/>
      <c r="LS44" s="30"/>
      <c r="LT44" s="30"/>
      <c r="LU44" s="30"/>
      <c r="LV44" s="30"/>
      <c r="LW44" s="30"/>
      <c r="LX44" s="30"/>
      <c r="LY44" s="30"/>
      <c r="LZ44" s="30"/>
      <c r="MA44" s="30"/>
      <c r="MB44" s="30"/>
      <c r="MC44" s="30"/>
      <c r="MD44" s="30"/>
      <c r="ME44" s="30"/>
      <c r="MF44" s="30"/>
      <c r="MG44" s="30"/>
      <c r="MH44" s="34"/>
    </row>
    <row r="45" spans="1:346" s="28" customFormat="1" ht="21.9" customHeight="1" thickBot="1">
      <c r="A45" s="283"/>
      <c r="B45" s="235">
        <v>2.4</v>
      </c>
      <c r="C45" s="237" t="s">
        <v>198</v>
      </c>
      <c r="D45" s="239" t="s">
        <v>177</v>
      </c>
      <c r="E45" s="61">
        <v>0</v>
      </c>
      <c r="F45" s="57">
        <f>G43-2</f>
        <v>46032</v>
      </c>
      <c r="G45" s="58">
        <f>F45+10</f>
        <v>46042</v>
      </c>
      <c r="H45" s="60" t="s">
        <v>154</v>
      </c>
      <c r="I45" s="21"/>
      <c r="J45" s="96">
        <f t="shared" si="87"/>
        <v>11</v>
      </c>
      <c r="K45" s="29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6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1"/>
      <c r="BV45" s="32"/>
      <c r="BW45" s="33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6"/>
      <c r="IR45" s="30"/>
      <c r="IS45" s="30"/>
      <c r="IT45" s="30"/>
      <c r="IU45" s="30"/>
      <c r="IV45" s="30"/>
      <c r="IW45" s="30"/>
      <c r="IX45" s="30"/>
      <c r="IY45" s="30"/>
      <c r="IZ45" s="30"/>
      <c r="JA45" s="30"/>
      <c r="JB45" s="30"/>
      <c r="JC45" s="30"/>
      <c r="JD45" s="30"/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  <c r="KH45" s="30"/>
      <c r="KI45" s="30"/>
      <c r="KJ45" s="30"/>
      <c r="KK45" s="31"/>
      <c r="KL45" s="32"/>
      <c r="KM45" s="33"/>
      <c r="KN45" s="30"/>
      <c r="KO45" s="30"/>
      <c r="KP45" s="30"/>
      <c r="KQ45" s="30"/>
      <c r="KR45" s="30"/>
      <c r="KS45" s="30"/>
      <c r="KT45" s="30"/>
      <c r="KU45" s="30"/>
      <c r="KV45" s="30"/>
      <c r="KW45" s="30"/>
      <c r="KX45" s="30"/>
      <c r="KY45" s="30"/>
      <c r="KZ45" s="30"/>
      <c r="LA45" s="30"/>
      <c r="LB45" s="30"/>
      <c r="LC45" s="30"/>
      <c r="LD45" s="30"/>
      <c r="LE45" s="30"/>
      <c r="LF45" s="30"/>
      <c r="LG45" s="30"/>
      <c r="LH45" s="30"/>
      <c r="LI45" s="30"/>
      <c r="LJ45" s="30"/>
      <c r="LK45" s="30"/>
      <c r="LL45" s="30"/>
      <c r="LM45" s="30"/>
      <c r="LN45" s="30"/>
      <c r="LO45" s="30"/>
      <c r="LP45" s="30"/>
      <c r="LQ45" s="30"/>
      <c r="LR45" s="30"/>
      <c r="LS45" s="30"/>
      <c r="LT45" s="30"/>
      <c r="LU45" s="30"/>
      <c r="LV45" s="30"/>
      <c r="LW45" s="30"/>
      <c r="LX45" s="30"/>
      <c r="LY45" s="30"/>
      <c r="LZ45" s="30"/>
      <c r="MA45" s="30"/>
      <c r="MB45" s="30"/>
      <c r="MC45" s="30"/>
      <c r="MD45" s="30"/>
      <c r="ME45" s="30"/>
      <c r="MF45" s="30"/>
      <c r="MG45" s="30"/>
      <c r="MH45" s="34"/>
    </row>
    <row r="46" spans="1:346" s="28" customFormat="1" ht="21.9" customHeight="1" thickBot="1">
      <c r="A46" s="283"/>
      <c r="B46" s="236"/>
      <c r="C46" s="238"/>
      <c r="D46" s="240"/>
      <c r="E46" s="61">
        <v>0</v>
      </c>
      <c r="F46" s="57"/>
      <c r="G46" s="58"/>
      <c r="H46" s="59" t="s">
        <v>158</v>
      </c>
      <c r="I46" s="21"/>
      <c r="J46" s="96" t="str">
        <f t="shared" si="87"/>
        <v/>
      </c>
      <c r="K46" s="29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6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1"/>
      <c r="BV46" s="32"/>
      <c r="BW46" s="33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6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1"/>
      <c r="KL46" s="32"/>
      <c r="KM46" s="33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4"/>
    </row>
    <row r="47" spans="1:346" s="28" customFormat="1" ht="21.9" customHeight="1" thickBot="1">
      <c r="A47" s="283"/>
      <c r="B47" s="245">
        <v>2.5</v>
      </c>
      <c r="C47" s="232" t="s">
        <v>199</v>
      </c>
      <c r="D47" s="230" t="s">
        <v>174</v>
      </c>
      <c r="E47" s="61">
        <v>0</v>
      </c>
      <c r="F47" s="62">
        <f>G45</f>
        <v>46042</v>
      </c>
      <c r="G47" s="63">
        <f>F47+4</f>
        <v>46046</v>
      </c>
      <c r="H47" s="60" t="s">
        <v>154</v>
      </c>
      <c r="I47" s="21"/>
      <c r="J47" s="96">
        <f t="shared" si="87"/>
        <v>5</v>
      </c>
      <c r="K47" s="29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6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1"/>
      <c r="BV47" s="32"/>
      <c r="BW47" s="33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/>
      <c r="IN47" s="30"/>
      <c r="IO47" s="30"/>
      <c r="IP47" s="30"/>
      <c r="IQ47" s="36"/>
      <c r="IR47" s="30"/>
      <c r="IS47" s="30"/>
      <c r="IT47" s="30"/>
      <c r="IU47" s="30"/>
      <c r="IV47" s="30"/>
      <c r="IW47" s="30"/>
      <c r="IX47" s="30"/>
      <c r="IY47" s="30"/>
      <c r="IZ47" s="30"/>
      <c r="JA47" s="30"/>
      <c r="JB47" s="30"/>
      <c r="JC47" s="30"/>
      <c r="JD47" s="30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1"/>
      <c r="KL47" s="32"/>
      <c r="KM47" s="33"/>
      <c r="KN47" s="30"/>
      <c r="KO47" s="30"/>
      <c r="KP47" s="30"/>
      <c r="KQ47" s="30"/>
      <c r="KR47" s="30"/>
      <c r="KS47" s="30"/>
      <c r="KT47" s="30"/>
      <c r="KU47" s="30"/>
      <c r="KV47" s="30"/>
      <c r="KW47" s="30"/>
      <c r="KX47" s="30"/>
      <c r="KY47" s="30"/>
      <c r="KZ47" s="30"/>
      <c r="LA47" s="30"/>
      <c r="LB47" s="30"/>
      <c r="LC47" s="30"/>
      <c r="LD47" s="30"/>
      <c r="LE47" s="30"/>
      <c r="LF47" s="30"/>
      <c r="LG47" s="30"/>
      <c r="LH47" s="30"/>
      <c r="LI47" s="30"/>
      <c r="LJ47" s="30"/>
      <c r="LK47" s="30"/>
      <c r="LL47" s="30"/>
      <c r="LM47" s="30"/>
      <c r="LN47" s="30"/>
      <c r="LO47" s="30"/>
      <c r="LP47" s="30"/>
      <c r="LQ47" s="30"/>
      <c r="LR47" s="30"/>
      <c r="LS47" s="30"/>
      <c r="LT47" s="30"/>
      <c r="LU47" s="30"/>
      <c r="LV47" s="30"/>
      <c r="LW47" s="30"/>
      <c r="LX47" s="30"/>
      <c r="LY47" s="30"/>
      <c r="LZ47" s="30"/>
      <c r="MA47" s="30"/>
      <c r="MB47" s="30"/>
      <c r="MC47" s="30"/>
      <c r="MD47" s="30"/>
      <c r="ME47" s="30"/>
      <c r="MF47" s="30"/>
      <c r="MG47" s="30"/>
      <c r="MH47" s="34"/>
    </row>
    <row r="48" spans="1:346" s="28" customFormat="1" ht="21.9" customHeight="1" thickBot="1">
      <c r="A48" s="283"/>
      <c r="B48" s="234"/>
      <c r="C48" s="233"/>
      <c r="D48" s="231"/>
      <c r="E48" s="61">
        <v>0</v>
      </c>
      <c r="F48" s="62"/>
      <c r="G48" s="63"/>
      <c r="H48" s="59" t="s">
        <v>158</v>
      </c>
      <c r="I48" s="21"/>
      <c r="J48" s="96" t="str">
        <f t="shared" si="87"/>
        <v/>
      </c>
      <c r="K48" s="29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6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1"/>
      <c r="BV48" s="32"/>
      <c r="BW48" s="33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/>
      <c r="IN48" s="30"/>
      <c r="IO48" s="30"/>
      <c r="IP48" s="30"/>
      <c r="IQ48" s="36"/>
      <c r="IR48" s="30"/>
      <c r="IS48" s="30"/>
      <c r="IT48" s="30"/>
      <c r="IU48" s="30"/>
      <c r="IV48" s="30"/>
      <c r="IW48" s="30"/>
      <c r="IX48" s="30"/>
      <c r="IY48" s="30"/>
      <c r="IZ48" s="30"/>
      <c r="JA48" s="30"/>
      <c r="JB48" s="30"/>
      <c r="JC48" s="30"/>
      <c r="JD48" s="30"/>
      <c r="JE48" s="30"/>
      <c r="JF48" s="30"/>
      <c r="JG48" s="30"/>
      <c r="JH48" s="30"/>
      <c r="JI48" s="30"/>
      <c r="JJ48" s="30"/>
      <c r="JK48" s="30"/>
      <c r="JL48" s="30"/>
      <c r="JM48" s="30"/>
      <c r="JN48" s="30"/>
      <c r="JO48" s="30"/>
      <c r="JP48" s="30"/>
      <c r="JQ48" s="30"/>
      <c r="JR48" s="30"/>
      <c r="JS48" s="30"/>
      <c r="JT48" s="30"/>
      <c r="JU48" s="30"/>
      <c r="JV48" s="30"/>
      <c r="JW48" s="30"/>
      <c r="JX48" s="30"/>
      <c r="JY48" s="30"/>
      <c r="JZ48" s="30"/>
      <c r="KA48" s="30"/>
      <c r="KB48" s="30"/>
      <c r="KC48" s="30"/>
      <c r="KD48" s="30"/>
      <c r="KE48" s="30"/>
      <c r="KF48" s="30"/>
      <c r="KG48" s="30"/>
      <c r="KH48" s="30"/>
      <c r="KI48" s="30"/>
      <c r="KJ48" s="30"/>
      <c r="KK48" s="31"/>
      <c r="KL48" s="32"/>
      <c r="KM48" s="33"/>
      <c r="KN48" s="30"/>
      <c r="KO48" s="30"/>
      <c r="KP48" s="30"/>
      <c r="KQ48" s="30"/>
      <c r="KR48" s="30"/>
      <c r="KS48" s="30"/>
      <c r="KT48" s="30"/>
      <c r="KU48" s="30"/>
      <c r="KV48" s="30"/>
      <c r="KW48" s="30"/>
      <c r="KX48" s="30"/>
      <c r="KY48" s="30"/>
      <c r="KZ48" s="30"/>
      <c r="LA48" s="30"/>
      <c r="LB48" s="30"/>
      <c r="LC48" s="30"/>
      <c r="LD48" s="30"/>
      <c r="LE48" s="30"/>
      <c r="LF48" s="30"/>
      <c r="LG48" s="30"/>
      <c r="LH48" s="30"/>
      <c r="LI48" s="30"/>
      <c r="LJ48" s="30"/>
      <c r="LK48" s="30"/>
      <c r="LL48" s="30"/>
      <c r="LM48" s="30"/>
      <c r="LN48" s="30"/>
      <c r="LO48" s="30"/>
      <c r="LP48" s="30"/>
      <c r="LQ48" s="30"/>
      <c r="LR48" s="30"/>
      <c r="LS48" s="30"/>
      <c r="LT48" s="30"/>
      <c r="LU48" s="30"/>
      <c r="LV48" s="30"/>
      <c r="LW48" s="30"/>
      <c r="LX48" s="30"/>
      <c r="LY48" s="30"/>
      <c r="LZ48" s="30"/>
      <c r="MA48" s="30"/>
      <c r="MB48" s="30"/>
      <c r="MC48" s="30"/>
      <c r="MD48" s="30"/>
      <c r="ME48" s="30"/>
      <c r="MF48" s="30"/>
      <c r="MG48" s="30"/>
      <c r="MH48" s="34"/>
    </row>
    <row r="49" spans="1:346" s="28" customFormat="1" ht="21.9" customHeight="1" thickBot="1">
      <c r="A49" s="283"/>
      <c r="B49" s="235">
        <v>2.6</v>
      </c>
      <c r="C49" s="237" t="s">
        <v>200</v>
      </c>
      <c r="D49" s="239" t="s">
        <v>177</v>
      </c>
      <c r="E49" s="61">
        <v>0</v>
      </c>
      <c r="F49" s="57">
        <f>G47+1</f>
        <v>46047</v>
      </c>
      <c r="G49" s="58">
        <f>F49+20</f>
        <v>46067</v>
      </c>
      <c r="H49" s="60" t="s">
        <v>154</v>
      </c>
      <c r="I49" s="21"/>
      <c r="J49" s="96">
        <f t="shared" si="87"/>
        <v>21</v>
      </c>
      <c r="K49" s="29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6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1"/>
      <c r="BV49" s="32"/>
      <c r="BW49" s="33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/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30"/>
      <c r="HJ49" s="30"/>
      <c r="HK49" s="30"/>
      <c r="HL49" s="30"/>
      <c r="HM49" s="30"/>
      <c r="HN49" s="30"/>
      <c r="HO49" s="30"/>
      <c r="HP49" s="30"/>
      <c r="HQ49" s="30"/>
      <c r="HR49" s="30"/>
      <c r="HS49" s="30"/>
      <c r="HT49" s="30"/>
      <c r="HU49" s="30"/>
      <c r="HV49" s="30"/>
      <c r="HW49" s="30"/>
      <c r="HX49" s="30"/>
      <c r="HY49" s="30"/>
      <c r="HZ49" s="30"/>
      <c r="IA49" s="30"/>
      <c r="IB49" s="30"/>
      <c r="IC49" s="30"/>
      <c r="ID49" s="30"/>
      <c r="IE49" s="30"/>
      <c r="IF49" s="30"/>
      <c r="IG49" s="30"/>
      <c r="IH49" s="30"/>
      <c r="II49" s="30"/>
      <c r="IJ49" s="30"/>
      <c r="IK49" s="30"/>
      <c r="IL49" s="30"/>
      <c r="IM49" s="30"/>
      <c r="IN49" s="30"/>
      <c r="IO49" s="30"/>
      <c r="IP49" s="30"/>
      <c r="IQ49" s="36"/>
      <c r="IR49" s="30"/>
      <c r="IS49" s="30"/>
      <c r="IT49" s="30"/>
      <c r="IU49" s="30"/>
      <c r="IV49" s="30"/>
      <c r="IW49" s="30"/>
      <c r="IX49" s="30"/>
      <c r="IY49" s="30"/>
      <c r="IZ49" s="30"/>
      <c r="JA49" s="30"/>
      <c r="JB49" s="30"/>
      <c r="JC49" s="30"/>
      <c r="JD49" s="30"/>
      <c r="JE49" s="30"/>
      <c r="JF49" s="30"/>
      <c r="JG49" s="30"/>
      <c r="JH49" s="30"/>
      <c r="JI49" s="30"/>
      <c r="JJ49" s="30"/>
      <c r="JK49" s="30"/>
      <c r="JL49" s="30"/>
      <c r="JM49" s="30"/>
      <c r="JN49" s="30"/>
      <c r="JO49" s="30"/>
      <c r="JP49" s="30"/>
      <c r="JQ49" s="30"/>
      <c r="JR49" s="30"/>
      <c r="JS49" s="30"/>
      <c r="JT49" s="30"/>
      <c r="JU49" s="30"/>
      <c r="JV49" s="30"/>
      <c r="JW49" s="30"/>
      <c r="JX49" s="30"/>
      <c r="JY49" s="30"/>
      <c r="JZ49" s="30"/>
      <c r="KA49" s="30"/>
      <c r="KB49" s="30"/>
      <c r="KC49" s="30"/>
      <c r="KD49" s="30"/>
      <c r="KE49" s="30"/>
      <c r="KF49" s="30"/>
      <c r="KG49" s="30"/>
      <c r="KH49" s="30"/>
      <c r="KI49" s="30"/>
      <c r="KJ49" s="30"/>
      <c r="KK49" s="31"/>
      <c r="KL49" s="32"/>
      <c r="KM49" s="33"/>
      <c r="KN49" s="30"/>
      <c r="KO49" s="30"/>
      <c r="KP49" s="30"/>
      <c r="KQ49" s="30"/>
      <c r="KR49" s="30"/>
      <c r="KS49" s="30"/>
      <c r="KT49" s="30"/>
      <c r="KU49" s="30"/>
      <c r="KV49" s="30"/>
      <c r="KW49" s="30"/>
      <c r="KX49" s="30"/>
      <c r="KY49" s="30"/>
      <c r="KZ49" s="30"/>
      <c r="LA49" s="30"/>
      <c r="LB49" s="30"/>
      <c r="LC49" s="30"/>
      <c r="LD49" s="30"/>
      <c r="LE49" s="30"/>
      <c r="LF49" s="30"/>
      <c r="LG49" s="30"/>
      <c r="LH49" s="30"/>
      <c r="LI49" s="30"/>
      <c r="LJ49" s="30"/>
      <c r="LK49" s="30"/>
      <c r="LL49" s="30"/>
      <c r="LM49" s="30"/>
      <c r="LN49" s="30"/>
      <c r="LO49" s="30"/>
      <c r="LP49" s="30"/>
      <c r="LQ49" s="30"/>
      <c r="LR49" s="30"/>
      <c r="LS49" s="30"/>
      <c r="LT49" s="30"/>
      <c r="LU49" s="30"/>
      <c r="LV49" s="30"/>
      <c r="LW49" s="30"/>
      <c r="LX49" s="30"/>
      <c r="LY49" s="30"/>
      <c r="LZ49" s="30"/>
      <c r="MA49" s="30"/>
      <c r="MB49" s="30"/>
      <c r="MC49" s="30"/>
      <c r="MD49" s="30"/>
      <c r="ME49" s="30"/>
      <c r="MF49" s="30"/>
      <c r="MG49" s="30"/>
      <c r="MH49" s="34"/>
    </row>
    <row r="50" spans="1:346" s="28" customFormat="1" ht="21.9" customHeight="1" thickBot="1">
      <c r="A50" s="283"/>
      <c r="B50" s="236"/>
      <c r="C50" s="238"/>
      <c r="D50" s="240"/>
      <c r="E50" s="61">
        <v>0</v>
      </c>
      <c r="F50" s="57"/>
      <c r="G50" s="58"/>
      <c r="H50" s="59" t="s">
        <v>158</v>
      </c>
      <c r="I50" s="21"/>
      <c r="J50" s="96" t="str">
        <f t="shared" si="87"/>
        <v/>
      </c>
      <c r="K50" s="29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6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1"/>
      <c r="BV50" s="32"/>
      <c r="BW50" s="33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30"/>
      <c r="GX50" s="30"/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30"/>
      <c r="HJ50" s="30"/>
      <c r="HK50" s="30"/>
      <c r="HL50" s="30"/>
      <c r="HM50" s="30"/>
      <c r="HN50" s="30"/>
      <c r="HO50" s="30"/>
      <c r="HP50" s="30"/>
      <c r="HQ50" s="30"/>
      <c r="HR50" s="30"/>
      <c r="HS50" s="30"/>
      <c r="HT50" s="30"/>
      <c r="HU50" s="30"/>
      <c r="HV50" s="30"/>
      <c r="HW50" s="30"/>
      <c r="HX50" s="30"/>
      <c r="HY50" s="30"/>
      <c r="HZ50" s="30"/>
      <c r="IA50" s="30"/>
      <c r="IB50" s="30"/>
      <c r="IC50" s="30"/>
      <c r="ID50" s="30"/>
      <c r="IE50" s="30"/>
      <c r="IF50" s="30"/>
      <c r="IG50" s="30"/>
      <c r="IH50" s="30"/>
      <c r="II50" s="30"/>
      <c r="IJ50" s="30"/>
      <c r="IK50" s="30"/>
      <c r="IL50" s="30"/>
      <c r="IM50" s="30"/>
      <c r="IN50" s="30"/>
      <c r="IO50" s="30"/>
      <c r="IP50" s="30"/>
      <c r="IQ50" s="36"/>
      <c r="IR50" s="30"/>
      <c r="IS50" s="30"/>
      <c r="IT50" s="30"/>
      <c r="IU50" s="30"/>
      <c r="IV50" s="30"/>
      <c r="IW50" s="30"/>
      <c r="IX50" s="30"/>
      <c r="IY50" s="30"/>
      <c r="IZ50" s="30"/>
      <c r="JA50" s="30"/>
      <c r="JB50" s="30"/>
      <c r="JC50" s="30"/>
      <c r="JD50" s="30"/>
      <c r="JE50" s="30"/>
      <c r="JF50" s="30"/>
      <c r="JG50" s="30"/>
      <c r="JH50" s="30"/>
      <c r="JI50" s="30"/>
      <c r="JJ50" s="30"/>
      <c r="JK50" s="30"/>
      <c r="JL50" s="30"/>
      <c r="JM50" s="30"/>
      <c r="JN50" s="30"/>
      <c r="JO50" s="30"/>
      <c r="JP50" s="30"/>
      <c r="JQ50" s="30"/>
      <c r="JR50" s="30"/>
      <c r="JS50" s="30"/>
      <c r="JT50" s="30"/>
      <c r="JU50" s="30"/>
      <c r="JV50" s="30"/>
      <c r="JW50" s="30"/>
      <c r="JX50" s="30"/>
      <c r="JY50" s="30"/>
      <c r="JZ50" s="30"/>
      <c r="KA50" s="30"/>
      <c r="KB50" s="30"/>
      <c r="KC50" s="30"/>
      <c r="KD50" s="30"/>
      <c r="KE50" s="30"/>
      <c r="KF50" s="30"/>
      <c r="KG50" s="30"/>
      <c r="KH50" s="30"/>
      <c r="KI50" s="30"/>
      <c r="KJ50" s="30"/>
      <c r="KK50" s="31"/>
      <c r="KL50" s="32"/>
      <c r="KM50" s="33"/>
      <c r="KN50" s="30"/>
      <c r="KO50" s="30"/>
      <c r="KP50" s="30"/>
      <c r="KQ50" s="30"/>
      <c r="KR50" s="30"/>
      <c r="KS50" s="30"/>
      <c r="KT50" s="30"/>
      <c r="KU50" s="30"/>
      <c r="KV50" s="30"/>
      <c r="KW50" s="30"/>
      <c r="KX50" s="30"/>
      <c r="KY50" s="30"/>
      <c r="KZ50" s="30"/>
      <c r="LA50" s="30"/>
      <c r="LB50" s="30"/>
      <c r="LC50" s="30"/>
      <c r="LD50" s="30"/>
      <c r="LE50" s="30"/>
      <c r="LF50" s="30"/>
      <c r="LG50" s="30"/>
      <c r="LH50" s="30"/>
      <c r="LI50" s="30"/>
      <c r="LJ50" s="30"/>
      <c r="LK50" s="30"/>
      <c r="LL50" s="30"/>
      <c r="LM50" s="30"/>
      <c r="LN50" s="30"/>
      <c r="LO50" s="30"/>
      <c r="LP50" s="30"/>
      <c r="LQ50" s="30"/>
      <c r="LR50" s="30"/>
      <c r="LS50" s="30"/>
      <c r="LT50" s="30"/>
      <c r="LU50" s="30"/>
      <c r="LV50" s="30"/>
      <c r="LW50" s="30"/>
      <c r="LX50" s="30"/>
      <c r="LY50" s="30"/>
      <c r="LZ50" s="30"/>
      <c r="MA50" s="30"/>
      <c r="MB50" s="30"/>
      <c r="MC50" s="30"/>
      <c r="MD50" s="30"/>
      <c r="ME50" s="30"/>
      <c r="MF50" s="30"/>
      <c r="MG50" s="30"/>
      <c r="MH50" s="34"/>
    </row>
    <row r="51" spans="1:346" s="28" customFormat="1" ht="21.9" customHeight="1" thickBot="1">
      <c r="A51" s="283"/>
      <c r="B51" s="235">
        <v>2.7</v>
      </c>
      <c r="C51" s="237" t="s">
        <v>201</v>
      </c>
      <c r="D51" s="239" t="s">
        <v>177</v>
      </c>
      <c r="E51" s="53">
        <v>0</v>
      </c>
      <c r="F51" s="57">
        <f>G49</f>
        <v>46067</v>
      </c>
      <c r="G51" s="58">
        <f>F51+15</f>
        <v>46082</v>
      </c>
      <c r="H51" s="60" t="s">
        <v>154</v>
      </c>
      <c r="I51" s="21"/>
      <c r="J51" s="96">
        <f t="shared" si="87"/>
        <v>16</v>
      </c>
      <c r="K51" s="29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6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1"/>
      <c r="BV51" s="32"/>
      <c r="BW51" s="33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0"/>
      <c r="HL51" s="30"/>
      <c r="HM51" s="30"/>
      <c r="HN51" s="30"/>
      <c r="HO51" s="30"/>
      <c r="HP51" s="30"/>
      <c r="HQ51" s="30"/>
      <c r="HR51" s="30"/>
      <c r="HS51" s="30"/>
      <c r="HT51" s="30"/>
      <c r="HU51" s="30"/>
      <c r="HV51" s="30"/>
      <c r="HW51" s="30"/>
      <c r="HX51" s="30"/>
      <c r="HY51" s="30"/>
      <c r="HZ51" s="30"/>
      <c r="IA51" s="30"/>
      <c r="IB51" s="30"/>
      <c r="IC51" s="30"/>
      <c r="ID51" s="30"/>
      <c r="IE51" s="30"/>
      <c r="IF51" s="30"/>
      <c r="IG51" s="30"/>
      <c r="IH51" s="30"/>
      <c r="II51" s="30"/>
      <c r="IJ51" s="30"/>
      <c r="IK51" s="30"/>
      <c r="IL51" s="30"/>
      <c r="IM51" s="30"/>
      <c r="IN51" s="30"/>
      <c r="IO51" s="30"/>
      <c r="IP51" s="30"/>
      <c r="IQ51" s="36"/>
      <c r="IR51" s="30"/>
      <c r="IS51" s="30"/>
      <c r="IT51" s="30"/>
      <c r="IU51" s="30"/>
      <c r="IV51" s="30"/>
      <c r="IW51" s="30"/>
      <c r="IX51" s="30"/>
      <c r="IY51" s="30"/>
      <c r="IZ51" s="30"/>
      <c r="JA51" s="30"/>
      <c r="JB51" s="30"/>
      <c r="JC51" s="30"/>
      <c r="JD51" s="30"/>
      <c r="JE51" s="30"/>
      <c r="JF51" s="30"/>
      <c r="JG51" s="30"/>
      <c r="JH51" s="30"/>
      <c r="JI51" s="30"/>
      <c r="JJ51" s="30"/>
      <c r="JK51" s="30"/>
      <c r="JL51" s="30"/>
      <c r="JM51" s="30"/>
      <c r="JN51" s="30"/>
      <c r="JO51" s="30"/>
      <c r="JP51" s="30"/>
      <c r="JQ51" s="30"/>
      <c r="JR51" s="30"/>
      <c r="JS51" s="30"/>
      <c r="JT51" s="30"/>
      <c r="JU51" s="30"/>
      <c r="JV51" s="30"/>
      <c r="JW51" s="30"/>
      <c r="JX51" s="30"/>
      <c r="JY51" s="30"/>
      <c r="JZ51" s="30"/>
      <c r="KA51" s="30"/>
      <c r="KB51" s="30"/>
      <c r="KC51" s="30"/>
      <c r="KD51" s="30"/>
      <c r="KE51" s="30"/>
      <c r="KF51" s="30"/>
      <c r="KG51" s="30"/>
      <c r="KH51" s="30"/>
      <c r="KI51" s="30"/>
      <c r="KJ51" s="30"/>
      <c r="KK51" s="31"/>
      <c r="KL51" s="32"/>
      <c r="KM51" s="33"/>
      <c r="KN51" s="30"/>
      <c r="KO51" s="30"/>
      <c r="KP51" s="30"/>
      <c r="KQ51" s="30"/>
      <c r="KR51" s="30"/>
      <c r="KS51" s="30"/>
      <c r="KT51" s="30"/>
      <c r="KU51" s="30"/>
      <c r="KV51" s="30"/>
      <c r="KW51" s="30"/>
      <c r="KX51" s="30"/>
      <c r="KY51" s="30"/>
      <c r="KZ51" s="30"/>
      <c r="LA51" s="30"/>
      <c r="LB51" s="30"/>
      <c r="LC51" s="30"/>
      <c r="LD51" s="30"/>
      <c r="LE51" s="30"/>
      <c r="LF51" s="30"/>
      <c r="LG51" s="30"/>
      <c r="LH51" s="30"/>
      <c r="LI51" s="30"/>
      <c r="LJ51" s="30"/>
      <c r="LK51" s="30"/>
      <c r="LL51" s="30"/>
      <c r="LM51" s="30"/>
      <c r="LN51" s="30"/>
      <c r="LO51" s="30"/>
      <c r="LP51" s="30"/>
      <c r="LQ51" s="30"/>
      <c r="LR51" s="30"/>
      <c r="LS51" s="30"/>
      <c r="LT51" s="30"/>
      <c r="LU51" s="30"/>
      <c r="LV51" s="30"/>
      <c r="LW51" s="30"/>
      <c r="LX51" s="30"/>
      <c r="LY51" s="30"/>
      <c r="LZ51" s="30"/>
      <c r="MA51" s="30"/>
      <c r="MB51" s="30"/>
      <c r="MC51" s="30"/>
      <c r="MD51" s="30"/>
      <c r="ME51" s="30"/>
      <c r="MF51" s="30"/>
      <c r="MG51" s="30"/>
      <c r="MH51" s="34"/>
    </row>
    <row r="52" spans="1:346" s="28" customFormat="1" ht="21.9" customHeight="1" thickBot="1">
      <c r="A52" s="283"/>
      <c r="B52" s="236"/>
      <c r="C52" s="238"/>
      <c r="D52" s="240"/>
      <c r="E52" s="53">
        <v>0</v>
      </c>
      <c r="F52" s="57"/>
      <c r="G52" s="58"/>
      <c r="H52" s="59" t="s">
        <v>158</v>
      </c>
      <c r="I52" s="21"/>
      <c r="J52" s="96" t="str">
        <f t="shared" si="87"/>
        <v/>
      </c>
      <c r="K52" s="29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6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1"/>
      <c r="BV52" s="32"/>
      <c r="BW52" s="33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30"/>
      <c r="GX52" s="30"/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30"/>
      <c r="HJ52" s="30"/>
      <c r="HK52" s="30"/>
      <c r="HL52" s="30"/>
      <c r="HM52" s="30"/>
      <c r="HN52" s="30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  <c r="ID52" s="30"/>
      <c r="IE52" s="30"/>
      <c r="IF52" s="30"/>
      <c r="IG52" s="30"/>
      <c r="IH52" s="30"/>
      <c r="II52" s="30"/>
      <c r="IJ52" s="30"/>
      <c r="IK52" s="30"/>
      <c r="IL52" s="30"/>
      <c r="IM52" s="30"/>
      <c r="IN52" s="30"/>
      <c r="IO52" s="30"/>
      <c r="IP52" s="30"/>
      <c r="IQ52" s="36"/>
      <c r="IR52" s="30"/>
      <c r="IS52" s="30"/>
      <c r="IT52" s="30"/>
      <c r="IU52" s="30"/>
      <c r="IV52" s="30"/>
      <c r="IW52" s="30"/>
      <c r="IX52" s="30"/>
      <c r="IY52" s="30"/>
      <c r="IZ52" s="30"/>
      <c r="JA52" s="30"/>
      <c r="JB52" s="30"/>
      <c r="JC52" s="30"/>
      <c r="JD52" s="30"/>
      <c r="JE52" s="30"/>
      <c r="JF52" s="30"/>
      <c r="JG52" s="30"/>
      <c r="JH52" s="30"/>
      <c r="JI52" s="30"/>
      <c r="JJ52" s="30"/>
      <c r="JK52" s="30"/>
      <c r="JL52" s="30"/>
      <c r="JM52" s="30"/>
      <c r="JN52" s="30"/>
      <c r="JO52" s="30"/>
      <c r="JP52" s="30"/>
      <c r="JQ52" s="30"/>
      <c r="JR52" s="30"/>
      <c r="JS52" s="30"/>
      <c r="JT52" s="30"/>
      <c r="JU52" s="30"/>
      <c r="JV52" s="30"/>
      <c r="JW52" s="30"/>
      <c r="JX52" s="30"/>
      <c r="JY52" s="30"/>
      <c r="JZ52" s="30"/>
      <c r="KA52" s="30"/>
      <c r="KB52" s="30"/>
      <c r="KC52" s="30"/>
      <c r="KD52" s="30"/>
      <c r="KE52" s="30"/>
      <c r="KF52" s="30"/>
      <c r="KG52" s="30"/>
      <c r="KH52" s="30"/>
      <c r="KI52" s="30"/>
      <c r="KJ52" s="30"/>
      <c r="KK52" s="31"/>
      <c r="KL52" s="32"/>
      <c r="KM52" s="33"/>
      <c r="KN52" s="30"/>
      <c r="KO52" s="30"/>
      <c r="KP52" s="30"/>
      <c r="KQ52" s="30"/>
      <c r="KR52" s="30"/>
      <c r="KS52" s="30"/>
      <c r="KT52" s="30"/>
      <c r="KU52" s="30"/>
      <c r="KV52" s="30"/>
      <c r="KW52" s="30"/>
      <c r="KX52" s="30"/>
      <c r="KY52" s="30"/>
      <c r="KZ52" s="30"/>
      <c r="LA52" s="30"/>
      <c r="LB52" s="30"/>
      <c r="LC52" s="30"/>
      <c r="LD52" s="30"/>
      <c r="LE52" s="30"/>
      <c r="LF52" s="30"/>
      <c r="LG52" s="30"/>
      <c r="LH52" s="30"/>
      <c r="LI52" s="30"/>
      <c r="LJ52" s="30"/>
      <c r="LK52" s="30"/>
      <c r="LL52" s="30"/>
      <c r="LM52" s="30"/>
      <c r="LN52" s="30"/>
      <c r="LO52" s="30"/>
      <c r="LP52" s="30"/>
      <c r="LQ52" s="30"/>
      <c r="LR52" s="30"/>
      <c r="LS52" s="30"/>
      <c r="LT52" s="30"/>
      <c r="LU52" s="30"/>
      <c r="LV52" s="30"/>
      <c r="LW52" s="30"/>
      <c r="LX52" s="30"/>
      <c r="LY52" s="30"/>
      <c r="LZ52" s="30"/>
      <c r="MA52" s="30"/>
      <c r="MB52" s="30"/>
      <c r="MC52" s="30"/>
      <c r="MD52" s="30"/>
      <c r="ME52" s="30"/>
      <c r="MF52" s="30"/>
      <c r="MG52" s="30"/>
      <c r="MH52" s="34"/>
    </row>
    <row r="53" spans="1:346" s="28" customFormat="1" ht="21.9" customHeight="1" thickBot="1">
      <c r="A53" s="283"/>
      <c r="B53" s="235">
        <v>2.8</v>
      </c>
      <c r="C53" s="237" t="s">
        <v>202</v>
      </c>
      <c r="D53" s="239" t="s">
        <v>177</v>
      </c>
      <c r="E53" s="53">
        <v>0</v>
      </c>
      <c r="F53" s="57">
        <f>G51+1</f>
        <v>46083</v>
      </c>
      <c r="G53" s="58">
        <f>F53+15</f>
        <v>46098</v>
      </c>
      <c r="H53" s="60" t="s">
        <v>154</v>
      </c>
      <c r="I53" s="21"/>
      <c r="J53" s="96">
        <f t="shared" si="87"/>
        <v>16</v>
      </c>
      <c r="K53" s="29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6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1"/>
      <c r="BV53" s="32"/>
      <c r="BW53" s="33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6"/>
      <c r="IR53" s="30"/>
      <c r="IS53" s="30"/>
      <c r="IT53" s="30"/>
      <c r="IU53" s="30"/>
      <c r="IV53" s="30"/>
      <c r="IW53" s="30"/>
      <c r="IX53" s="30"/>
      <c r="IY53" s="30"/>
      <c r="IZ53" s="30"/>
      <c r="JA53" s="30"/>
      <c r="JB53" s="30"/>
      <c r="JC53" s="30"/>
      <c r="JD53" s="30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1"/>
      <c r="KL53" s="32"/>
      <c r="KM53" s="33"/>
      <c r="KN53" s="30"/>
      <c r="KO53" s="30"/>
      <c r="KP53" s="30"/>
      <c r="KQ53" s="30"/>
      <c r="KR53" s="30"/>
      <c r="KS53" s="30"/>
      <c r="KT53" s="30"/>
      <c r="KU53" s="30"/>
      <c r="KV53" s="30"/>
      <c r="KW53" s="30"/>
      <c r="KX53" s="30"/>
      <c r="KY53" s="30"/>
      <c r="KZ53" s="30"/>
      <c r="LA53" s="30"/>
      <c r="LB53" s="30"/>
      <c r="LC53" s="30"/>
      <c r="LD53" s="30"/>
      <c r="LE53" s="30"/>
      <c r="LF53" s="30"/>
      <c r="LG53" s="30"/>
      <c r="LH53" s="30"/>
      <c r="LI53" s="30"/>
      <c r="LJ53" s="30"/>
      <c r="LK53" s="30"/>
      <c r="LL53" s="30"/>
      <c r="LM53" s="30"/>
      <c r="LN53" s="30"/>
      <c r="LO53" s="30"/>
      <c r="LP53" s="30"/>
      <c r="LQ53" s="30"/>
      <c r="LR53" s="30"/>
      <c r="LS53" s="30"/>
      <c r="LT53" s="30"/>
      <c r="LU53" s="30"/>
      <c r="LV53" s="30"/>
      <c r="LW53" s="30"/>
      <c r="LX53" s="30"/>
      <c r="LY53" s="30"/>
      <c r="LZ53" s="30"/>
      <c r="MA53" s="30"/>
      <c r="MB53" s="30"/>
      <c r="MC53" s="30"/>
      <c r="MD53" s="30"/>
      <c r="ME53" s="30"/>
      <c r="MF53" s="30"/>
      <c r="MG53" s="30"/>
      <c r="MH53" s="34"/>
    </row>
    <row r="54" spans="1:346" s="28" customFormat="1" ht="21.9" customHeight="1" thickBot="1">
      <c r="A54" s="283"/>
      <c r="B54" s="236"/>
      <c r="C54" s="238"/>
      <c r="D54" s="240"/>
      <c r="E54" s="53">
        <v>0</v>
      </c>
      <c r="F54" s="57"/>
      <c r="G54" s="58"/>
      <c r="H54" s="59" t="s">
        <v>158</v>
      </c>
      <c r="I54" s="21"/>
      <c r="J54" s="96" t="str">
        <f t="shared" si="87"/>
        <v/>
      </c>
      <c r="K54" s="29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6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1"/>
      <c r="BV54" s="32"/>
      <c r="BW54" s="33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30"/>
      <c r="GX54" s="30"/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30"/>
      <c r="HJ54" s="30"/>
      <c r="HK54" s="30"/>
      <c r="HL54" s="30"/>
      <c r="HM54" s="30"/>
      <c r="HN54" s="30"/>
      <c r="HO54" s="30"/>
      <c r="HP54" s="30"/>
      <c r="HQ54" s="30"/>
      <c r="HR54" s="30"/>
      <c r="HS54" s="30"/>
      <c r="HT54" s="30"/>
      <c r="HU54" s="30"/>
      <c r="HV54" s="30"/>
      <c r="HW54" s="30"/>
      <c r="HX54" s="30"/>
      <c r="HY54" s="30"/>
      <c r="HZ54" s="30"/>
      <c r="IA54" s="30"/>
      <c r="IB54" s="30"/>
      <c r="IC54" s="30"/>
      <c r="ID54" s="30"/>
      <c r="IE54" s="30"/>
      <c r="IF54" s="30"/>
      <c r="IG54" s="30"/>
      <c r="IH54" s="30"/>
      <c r="II54" s="30"/>
      <c r="IJ54" s="30"/>
      <c r="IK54" s="30"/>
      <c r="IL54" s="30"/>
      <c r="IM54" s="30"/>
      <c r="IN54" s="30"/>
      <c r="IO54" s="30"/>
      <c r="IP54" s="30"/>
      <c r="IQ54" s="36"/>
      <c r="IR54" s="30"/>
      <c r="IS54" s="30"/>
      <c r="IT54" s="30"/>
      <c r="IU54" s="30"/>
      <c r="IV54" s="30"/>
      <c r="IW54" s="30"/>
      <c r="IX54" s="30"/>
      <c r="IY54" s="30"/>
      <c r="IZ54" s="30"/>
      <c r="JA54" s="30"/>
      <c r="JB54" s="30"/>
      <c r="JC54" s="30"/>
      <c r="JD54" s="30"/>
      <c r="JE54" s="30"/>
      <c r="JF54" s="30"/>
      <c r="JG54" s="30"/>
      <c r="JH54" s="30"/>
      <c r="JI54" s="30"/>
      <c r="JJ54" s="30"/>
      <c r="JK54" s="30"/>
      <c r="JL54" s="30"/>
      <c r="JM54" s="30"/>
      <c r="JN54" s="30"/>
      <c r="JO54" s="30"/>
      <c r="JP54" s="30"/>
      <c r="JQ54" s="30"/>
      <c r="JR54" s="30"/>
      <c r="JS54" s="30"/>
      <c r="JT54" s="30"/>
      <c r="JU54" s="30"/>
      <c r="JV54" s="30"/>
      <c r="JW54" s="30"/>
      <c r="JX54" s="30"/>
      <c r="JY54" s="30"/>
      <c r="JZ54" s="30"/>
      <c r="KA54" s="30"/>
      <c r="KB54" s="30"/>
      <c r="KC54" s="30"/>
      <c r="KD54" s="30"/>
      <c r="KE54" s="30"/>
      <c r="KF54" s="30"/>
      <c r="KG54" s="30"/>
      <c r="KH54" s="30"/>
      <c r="KI54" s="30"/>
      <c r="KJ54" s="30"/>
      <c r="KK54" s="31"/>
      <c r="KL54" s="32"/>
      <c r="KM54" s="33"/>
      <c r="KN54" s="30"/>
      <c r="KO54" s="30"/>
      <c r="KP54" s="30"/>
      <c r="KQ54" s="30"/>
      <c r="KR54" s="30"/>
      <c r="KS54" s="30"/>
      <c r="KT54" s="30"/>
      <c r="KU54" s="30"/>
      <c r="KV54" s="30"/>
      <c r="KW54" s="30"/>
      <c r="KX54" s="30"/>
      <c r="KY54" s="30"/>
      <c r="KZ54" s="30"/>
      <c r="LA54" s="30"/>
      <c r="LB54" s="30"/>
      <c r="LC54" s="30"/>
      <c r="LD54" s="30"/>
      <c r="LE54" s="30"/>
      <c r="LF54" s="30"/>
      <c r="LG54" s="30"/>
      <c r="LH54" s="30"/>
      <c r="LI54" s="30"/>
      <c r="LJ54" s="30"/>
      <c r="LK54" s="30"/>
      <c r="LL54" s="30"/>
      <c r="LM54" s="30"/>
      <c r="LN54" s="30"/>
      <c r="LO54" s="30"/>
      <c r="LP54" s="30"/>
      <c r="LQ54" s="30"/>
      <c r="LR54" s="30"/>
      <c r="LS54" s="30"/>
      <c r="LT54" s="30"/>
      <c r="LU54" s="30"/>
      <c r="LV54" s="30"/>
      <c r="LW54" s="30"/>
      <c r="LX54" s="30"/>
      <c r="LY54" s="30"/>
      <c r="LZ54" s="30"/>
      <c r="MA54" s="30"/>
      <c r="MB54" s="30"/>
      <c r="MC54" s="30"/>
      <c r="MD54" s="30"/>
      <c r="ME54" s="30"/>
      <c r="MF54" s="30"/>
      <c r="MG54" s="30"/>
      <c r="MH54" s="34"/>
    </row>
    <row r="55" spans="1:346" s="28" customFormat="1" ht="21.9" customHeight="1" thickBot="1">
      <c r="A55" s="283"/>
      <c r="B55" s="245">
        <v>2.8</v>
      </c>
      <c r="C55" s="232" t="s">
        <v>203</v>
      </c>
      <c r="D55" s="230" t="s">
        <v>174</v>
      </c>
      <c r="E55" s="61">
        <v>0</v>
      </c>
      <c r="F55" s="62">
        <f>G53+1</f>
        <v>46099</v>
      </c>
      <c r="G55" s="63">
        <f>F55+15</f>
        <v>46114</v>
      </c>
      <c r="H55" s="60" t="s">
        <v>154</v>
      </c>
      <c r="I55" s="21"/>
      <c r="J55" s="96">
        <f t="shared" si="87"/>
        <v>16</v>
      </c>
      <c r="K55" s="29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6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1"/>
      <c r="BV55" s="32"/>
      <c r="BW55" s="33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30"/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/>
      <c r="IN55" s="30"/>
      <c r="IO55" s="30"/>
      <c r="IP55" s="30"/>
      <c r="IQ55" s="36"/>
      <c r="IR55" s="30"/>
      <c r="IS55" s="30"/>
      <c r="IT55" s="30"/>
      <c r="IU55" s="30"/>
      <c r="IV55" s="30"/>
      <c r="IW55" s="30"/>
      <c r="IX55" s="30"/>
      <c r="IY55" s="30"/>
      <c r="IZ55" s="30"/>
      <c r="JA55" s="30"/>
      <c r="JB55" s="30"/>
      <c r="JC55" s="30"/>
      <c r="JD55" s="30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  <c r="KH55" s="30"/>
      <c r="KI55" s="30"/>
      <c r="KJ55" s="30"/>
      <c r="KK55" s="31"/>
      <c r="KL55" s="32"/>
      <c r="KM55" s="33"/>
      <c r="KN55" s="30"/>
      <c r="KO55" s="30"/>
      <c r="KP55" s="30"/>
      <c r="KQ55" s="30"/>
      <c r="KR55" s="30"/>
      <c r="KS55" s="30"/>
      <c r="KT55" s="30"/>
      <c r="KU55" s="30"/>
      <c r="KV55" s="30"/>
      <c r="KW55" s="30"/>
      <c r="KX55" s="30"/>
      <c r="KY55" s="30"/>
      <c r="KZ55" s="30"/>
      <c r="LA55" s="30"/>
      <c r="LB55" s="30"/>
      <c r="LC55" s="30"/>
      <c r="LD55" s="30"/>
      <c r="LE55" s="30"/>
      <c r="LF55" s="30"/>
      <c r="LG55" s="30"/>
      <c r="LH55" s="30"/>
      <c r="LI55" s="30"/>
      <c r="LJ55" s="30"/>
      <c r="LK55" s="30"/>
      <c r="LL55" s="30"/>
      <c r="LM55" s="30"/>
      <c r="LN55" s="30"/>
      <c r="LO55" s="30"/>
      <c r="LP55" s="30"/>
      <c r="LQ55" s="30"/>
      <c r="LR55" s="30"/>
      <c r="LS55" s="30"/>
      <c r="LT55" s="30"/>
      <c r="LU55" s="30"/>
      <c r="LV55" s="30"/>
      <c r="LW55" s="30"/>
      <c r="LX55" s="30"/>
      <c r="LY55" s="30"/>
      <c r="LZ55" s="30"/>
      <c r="MA55" s="30"/>
      <c r="MB55" s="30"/>
      <c r="MC55" s="30"/>
      <c r="MD55" s="30"/>
      <c r="ME55" s="30"/>
      <c r="MF55" s="30"/>
      <c r="MG55" s="30"/>
      <c r="MH55" s="34"/>
    </row>
    <row r="56" spans="1:346" s="28" customFormat="1" ht="21.9" customHeight="1" thickBot="1">
      <c r="A56" s="284"/>
      <c r="B56" s="256"/>
      <c r="C56" s="257"/>
      <c r="D56" s="261"/>
      <c r="E56" s="64">
        <v>0</v>
      </c>
      <c r="F56" s="67"/>
      <c r="G56" s="68"/>
      <c r="H56" s="69" t="s">
        <v>158</v>
      </c>
      <c r="I56" s="100"/>
      <c r="J56" s="98" t="str">
        <f t="shared" si="87"/>
        <v/>
      </c>
      <c r="K56" s="29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6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1"/>
      <c r="BV56" s="32"/>
      <c r="BW56" s="33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30"/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/>
      <c r="IN56" s="30"/>
      <c r="IO56" s="30"/>
      <c r="IP56" s="30"/>
      <c r="IQ56" s="36"/>
      <c r="IR56" s="30"/>
      <c r="IS56" s="30"/>
      <c r="IT56" s="30"/>
      <c r="IU56" s="30"/>
      <c r="IV56" s="30"/>
      <c r="IW56" s="30"/>
      <c r="IX56" s="30"/>
      <c r="IY56" s="30"/>
      <c r="IZ56" s="30"/>
      <c r="JA56" s="30"/>
      <c r="JB56" s="30"/>
      <c r="JC56" s="30"/>
      <c r="JD56" s="30"/>
      <c r="JE56" s="30"/>
      <c r="JF56" s="30"/>
      <c r="JG56" s="30"/>
      <c r="JH56" s="30"/>
      <c r="JI56" s="30"/>
      <c r="JJ56" s="30"/>
      <c r="JK56" s="30"/>
      <c r="JL56" s="30"/>
      <c r="JM56" s="30"/>
      <c r="JN56" s="30"/>
      <c r="JO56" s="30"/>
      <c r="JP56" s="30"/>
      <c r="JQ56" s="30"/>
      <c r="JR56" s="30"/>
      <c r="JS56" s="30"/>
      <c r="JT56" s="30"/>
      <c r="JU56" s="30"/>
      <c r="JV56" s="30"/>
      <c r="JW56" s="30"/>
      <c r="JX56" s="30"/>
      <c r="JY56" s="30"/>
      <c r="JZ56" s="30"/>
      <c r="KA56" s="30"/>
      <c r="KB56" s="30"/>
      <c r="KC56" s="30"/>
      <c r="KD56" s="30"/>
      <c r="KE56" s="30"/>
      <c r="KF56" s="30"/>
      <c r="KG56" s="30"/>
      <c r="KH56" s="30"/>
      <c r="KI56" s="30"/>
      <c r="KJ56" s="30"/>
      <c r="KK56" s="31"/>
      <c r="KL56" s="32"/>
      <c r="KM56" s="33"/>
      <c r="KN56" s="30"/>
      <c r="KO56" s="30"/>
      <c r="KP56" s="30"/>
      <c r="KQ56" s="30"/>
      <c r="KR56" s="30"/>
      <c r="KS56" s="30"/>
      <c r="KT56" s="30"/>
      <c r="KU56" s="30"/>
      <c r="KV56" s="30"/>
      <c r="KW56" s="30"/>
      <c r="KX56" s="30"/>
      <c r="KY56" s="30"/>
      <c r="KZ56" s="30"/>
      <c r="LA56" s="30"/>
      <c r="LB56" s="30"/>
      <c r="LC56" s="30"/>
      <c r="LD56" s="30"/>
      <c r="LE56" s="30"/>
      <c r="LF56" s="30"/>
      <c r="LG56" s="30"/>
      <c r="LH56" s="30"/>
      <c r="LI56" s="30"/>
      <c r="LJ56" s="30"/>
      <c r="LK56" s="30"/>
      <c r="LL56" s="30"/>
      <c r="LM56" s="30"/>
      <c r="LN56" s="30"/>
      <c r="LO56" s="30"/>
      <c r="LP56" s="30"/>
      <c r="LQ56" s="30"/>
      <c r="LR56" s="30"/>
      <c r="LS56" s="30"/>
      <c r="LT56" s="30"/>
      <c r="LU56" s="30"/>
      <c r="LV56" s="30"/>
      <c r="LW56" s="30"/>
      <c r="LX56" s="30"/>
      <c r="LY56" s="30"/>
      <c r="LZ56" s="30"/>
      <c r="MA56" s="30"/>
      <c r="MB56" s="30"/>
      <c r="MC56" s="30"/>
      <c r="MD56" s="30"/>
      <c r="ME56" s="30"/>
      <c r="MF56" s="30"/>
      <c r="MG56" s="30"/>
      <c r="MH56" s="34"/>
    </row>
    <row r="57" spans="1:346" s="28" customFormat="1" ht="21.9" customHeight="1" thickBot="1">
      <c r="A57" s="266" t="s">
        <v>204</v>
      </c>
      <c r="B57" s="259">
        <v>3.1</v>
      </c>
      <c r="C57" s="260" t="s">
        <v>205</v>
      </c>
      <c r="D57" s="280" t="s">
        <v>177</v>
      </c>
      <c r="E57" s="77">
        <v>0.35</v>
      </c>
      <c r="F57" s="90">
        <v>45971</v>
      </c>
      <c r="G57" s="55">
        <f>F57+60</f>
        <v>46031</v>
      </c>
      <c r="H57" s="56" t="s">
        <v>154</v>
      </c>
      <c r="I57" s="94"/>
      <c r="J57" s="95">
        <f t="shared" si="87"/>
        <v>61</v>
      </c>
      <c r="K57" s="29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6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1"/>
      <c r="BV57" s="32"/>
      <c r="BW57" s="33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30"/>
      <c r="GX57" s="30"/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30"/>
      <c r="HJ57" s="30"/>
      <c r="HK57" s="30"/>
      <c r="HL57" s="30"/>
      <c r="HM57" s="30"/>
      <c r="HN57" s="30"/>
      <c r="HO57" s="30"/>
      <c r="HP57" s="30"/>
      <c r="HQ57" s="30"/>
      <c r="HR57" s="30"/>
      <c r="HS57" s="30"/>
      <c r="HT57" s="30"/>
      <c r="HU57" s="30"/>
      <c r="HV57" s="30"/>
      <c r="HW57" s="30"/>
      <c r="HX57" s="30"/>
      <c r="HY57" s="30"/>
      <c r="HZ57" s="30"/>
      <c r="IA57" s="30"/>
      <c r="IB57" s="30"/>
      <c r="IC57" s="30"/>
      <c r="ID57" s="30"/>
      <c r="IE57" s="30"/>
      <c r="IF57" s="30"/>
      <c r="IG57" s="30"/>
      <c r="IH57" s="30"/>
      <c r="II57" s="30"/>
      <c r="IJ57" s="30"/>
      <c r="IK57" s="30"/>
      <c r="IL57" s="30"/>
      <c r="IM57" s="30"/>
      <c r="IN57" s="30"/>
      <c r="IO57" s="30"/>
      <c r="IP57" s="30"/>
      <c r="IQ57" s="36"/>
      <c r="IR57" s="30"/>
      <c r="IS57" s="30"/>
      <c r="IT57" s="30"/>
      <c r="IU57" s="30"/>
      <c r="IV57" s="30"/>
      <c r="IW57" s="30"/>
      <c r="IX57" s="30"/>
      <c r="IY57" s="30"/>
      <c r="IZ57" s="30"/>
      <c r="JA57" s="30"/>
      <c r="JB57" s="30"/>
      <c r="JC57" s="30"/>
      <c r="JD57" s="30"/>
      <c r="JE57" s="30"/>
      <c r="JF57" s="30"/>
      <c r="JG57" s="30"/>
      <c r="JH57" s="30"/>
      <c r="JI57" s="30"/>
      <c r="JJ57" s="30"/>
      <c r="JK57" s="30"/>
      <c r="JL57" s="30"/>
      <c r="JM57" s="30"/>
      <c r="JN57" s="30"/>
      <c r="JO57" s="30"/>
      <c r="JP57" s="30"/>
      <c r="JQ57" s="30"/>
      <c r="JR57" s="30"/>
      <c r="JS57" s="30"/>
      <c r="JT57" s="30"/>
      <c r="JU57" s="30"/>
      <c r="JV57" s="30"/>
      <c r="JW57" s="30"/>
      <c r="JX57" s="30"/>
      <c r="JY57" s="30"/>
      <c r="JZ57" s="30"/>
      <c r="KA57" s="30"/>
      <c r="KB57" s="30"/>
      <c r="KC57" s="30"/>
      <c r="KD57" s="30"/>
      <c r="KE57" s="30"/>
      <c r="KF57" s="30"/>
      <c r="KG57" s="30"/>
      <c r="KH57" s="30"/>
      <c r="KI57" s="30"/>
      <c r="KJ57" s="30"/>
      <c r="KK57" s="31"/>
      <c r="KL57" s="32"/>
      <c r="KM57" s="33"/>
      <c r="KN57" s="30"/>
      <c r="KO57" s="30"/>
      <c r="KP57" s="30"/>
      <c r="KQ57" s="30"/>
      <c r="KR57" s="30"/>
      <c r="KS57" s="30"/>
      <c r="KT57" s="30"/>
      <c r="KU57" s="30"/>
      <c r="KV57" s="30"/>
      <c r="KW57" s="30"/>
      <c r="KX57" s="30"/>
      <c r="KY57" s="30"/>
      <c r="KZ57" s="30"/>
      <c r="LA57" s="30"/>
      <c r="LB57" s="30"/>
      <c r="LC57" s="30"/>
      <c r="LD57" s="30"/>
      <c r="LE57" s="30"/>
      <c r="LF57" s="30"/>
      <c r="LG57" s="30"/>
      <c r="LH57" s="30"/>
      <c r="LI57" s="30"/>
      <c r="LJ57" s="30"/>
      <c r="LK57" s="30"/>
      <c r="LL57" s="30"/>
      <c r="LM57" s="30"/>
      <c r="LN57" s="30"/>
      <c r="LO57" s="30"/>
      <c r="LP57" s="30"/>
      <c r="LQ57" s="30"/>
      <c r="LR57" s="30"/>
      <c r="LS57" s="30"/>
      <c r="LT57" s="30"/>
      <c r="LU57" s="30"/>
      <c r="LV57" s="30"/>
      <c r="LW57" s="30"/>
      <c r="LX57" s="30"/>
      <c r="LY57" s="30"/>
      <c r="LZ57" s="30"/>
      <c r="MA57" s="30"/>
      <c r="MB57" s="30"/>
      <c r="MC57" s="30"/>
      <c r="MD57" s="30"/>
      <c r="ME57" s="30"/>
      <c r="MF57" s="30"/>
      <c r="MG57" s="30"/>
      <c r="MH57" s="34"/>
    </row>
    <row r="58" spans="1:346" s="28" customFormat="1" ht="21.9" customHeight="1" thickBot="1">
      <c r="A58" s="267"/>
      <c r="B58" s="236"/>
      <c r="C58" s="238"/>
      <c r="D58" s="275"/>
      <c r="E58" s="61">
        <v>0.35</v>
      </c>
      <c r="F58" s="90">
        <v>45971</v>
      </c>
      <c r="G58" s="74"/>
      <c r="H58" s="59" t="s">
        <v>158</v>
      </c>
      <c r="I58" s="21"/>
      <c r="J58" s="96" t="str">
        <f t="shared" si="87"/>
        <v/>
      </c>
      <c r="K58" s="29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6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1"/>
      <c r="BV58" s="32"/>
      <c r="BW58" s="33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6"/>
      <c r="IR58" s="30"/>
      <c r="IS58" s="30"/>
      <c r="IT58" s="30"/>
      <c r="IU58" s="30"/>
      <c r="IV58" s="30"/>
      <c r="IW58" s="30"/>
      <c r="IX58" s="30"/>
      <c r="IY58" s="30"/>
      <c r="IZ58" s="30"/>
      <c r="JA58" s="30"/>
      <c r="JB58" s="30"/>
      <c r="JC58" s="30"/>
      <c r="JD58" s="30"/>
      <c r="JE58" s="30"/>
      <c r="JF58" s="30"/>
      <c r="JG58" s="30"/>
      <c r="JH58" s="30"/>
      <c r="JI58" s="30"/>
      <c r="JJ58" s="30"/>
      <c r="JK58" s="30"/>
      <c r="JL58" s="30"/>
      <c r="JM58" s="30"/>
      <c r="JN58" s="30"/>
      <c r="JO58" s="30"/>
      <c r="JP58" s="30"/>
      <c r="JQ58" s="30"/>
      <c r="JR58" s="30"/>
      <c r="JS58" s="30"/>
      <c r="JT58" s="30"/>
      <c r="JU58" s="30"/>
      <c r="JV58" s="30"/>
      <c r="JW58" s="30"/>
      <c r="JX58" s="30"/>
      <c r="JY58" s="30"/>
      <c r="JZ58" s="30"/>
      <c r="KA58" s="30"/>
      <c r="KB58" s="30"/>
      <c r="KC58" s="30"/>
      <c r="KD58" s="30"/>
      <c r="KE58" s="30"/>
      <c r="KF58" s="30"/>
      <c r="KG58" s="30"/>
      <c r="KH58" s="30"/>
      <c r="KI58" s="30"/>
      <c r="KJ58" s="30"/>
      <c r="KK58" s="31"/>
      <c r="KL58" s="32"/>
      <c r="KM58" s="33"/>
      <c r="KN58" s="30"/>
      <c r="KO58" s="30"/>
      <c r="KP58" s="30"/>
      <c r="KQ58" s="30"/>
      <c r="KR58" s="30"/>
      <c r="KS58" s="30"/>
      <c r="KT58" s="30"/>
      <c r="KU58" s="30"/>
      <c r="KV58" s="30"/>
      <c r="KW58" s="30"/>
      <c r="KX58" s="30"/>
      <c r="KY58" s="30"/>
      <c r="KZ58" s="30"/>
      <c r="LA58" s="30"/>
      <c r="LB58" s="30"/>
      <c r="LC58" s="30"/>
      <c r="LD58" s="30"/>
      <c r="LE58" s="30"/>
      <c r="LF58" s="30"/>
      <c r="LG58" s="30"/>
      <c r="LH58" s="30"/>
      <c r="LI58" s="30"/>
      <c r="LJ58" s="30"/>
      <c r="LK58" s="30"/>
      <c r="LL58" s="30"/>
      <c r="LM58" s="30"/>
      <c r="LN58" s="30"/>
      <c r="LO58" s="30"/>
      <c r="LP58" s="30"/>
      <c r="LQ58" s="30"/>
      <c r="LR58" s="30"/>
      <c r="LS58" s="30"/>
      <c r="LT58" s="30"/>
      <c r="LU58" s="30"/>
      <c r="LV58" s="30"/>
      <c r="LW58" s="30"/>
      <c r="LX58" s="30"/>
      <c r="LY58" s="30"/>
      <c r="LZ58" s="30"/>
      <c r="MA58" s="30"/>
      <c r="MB58" s="30"/>
      <c r="MC58" s="30"/>
      <c r="MD58" s="30"/>
      <c r="ME58" s="30"/>
      <c r="MF58" s="30"/>
      <c r="MG58" s="30"/>
      <c r="MH58" s="34"/>
    </row>
    <row r="59" spans="1:346" s="28" customFormat="1" ht="21.9" customHeight="1" thickBot="1">
      <c r="A59" s="267"/>
      <c r="B59" s="235">
        <v>3.2</v>
      </c>
      <c r="C59" s="237" t="s">
        <v>206</v>
      </c>
      <c r="D59" s="281" t="s">
        <v>177</v>
      </c>
      <c r="E59" s="61">
        <v>0.34</v>
      </c>
      <c r="F59" s="70">
        <f>G23+21</f>
        <v>45981</v>
      </c>
      <c r="G59" s="71">
        <f>F59+120</f>
        <v>46101</v>
      </c>
      <c r="H59" s="72" t="s">
        <v>154</v>
      </c>
      <c r="I59" s="35"/>
      <c r="J59" s="96">
        <f t="shared" si="87"/>
        <v>121</v>
      </c>
      <c r="K59" s="29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6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1"/>
      <c r="BV59" s="32"/>
      <c r="BW59" s="33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/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30"/>
      <c r="HJ59" s="30"/>
      <c r="HK59" s="30"/>
      <c r="HL59" s="30"/>
      <c r="HM59" s="30"/>
      <c r="HN59" s="30"/>
      <c r="HO59" s="30"/>
      <c r="HP59" s="30"/>
      <c r="HQ59" s="30"/>
      <c r="HR59" s="30"/>
      <c r="HS59" s="30"/>
      <c r="HT59" s="30"/>
      <c r="HU59" s="30"/>
      <c r="HV59" s="30"/>
      <c r="HW59" s="30"/>
      <c r="HX59" s="30"/>
      <c r="HY59" s="30"/>
      <c r="HZ59" s="30"/>
      <c r="IA59" s="30"/>
      <c r="IB59" s="30"/>
      <c r="IC59" s="30"/>
      <c r="ID59" s="30"/>
      <c r="IE59" s="30"/>
      <c r="IF59" s="30"/>
      <c r="IG59" s="30"/>
      <c r="IH59" s="30"/>
      <c r="II59" s="30"/>
      <c r="IJ59" s="30"/>
      <c r="IK59" s="30"/>
      <c r="IL59" s="30"/>
      <c r="IM59" s="30"/>
      <c r="IN59" s="30"/>
      <c r="IO59" s="30"/>
      <c r="IP59" s="30"/>
      <c r="IQ59" s="36"/>
      <c r="IR59" s="30"/>
      <c r="IS59" s="30"/>
      <c r="IT59" s="30"/>
      <c r="IU59" s="30"/>
      <c r="IV59" s="30"/>
      <c r="IW59" s="30"/>
      <c r="IX59" s="30"/>
      <c r="IY59" s="30"/>
      <c r="IZ59" s="30"/>
      <c r="JA59" s="30"/>
      <c r="JB59" s="30"/>
      <c r="JC59" s="30"/>
      <c r="JD59" s="30"/>
      <c r="JE59" s="30"/>
      <c r="JF59" s="30"/>
      <c r="JG59" s="30"/>
      <c r="JH59" s="30"/>
      <c r="JI59" s="30"/>
      <c r="JJ59" s="30"/>
      <c r="JK59" s="30"/>
      <c r="JL59" s="30"/>
      <c r="JM59" s="30"/>
      <c r="JN59" s="30"/>
      <c r="JO59" s="30"/>
      <c r="JP59" s="30"/>
      <c r="JQ59" s="30"/>
      <c r="JR59" s="30"/>
      <c r="JS59" s="30"/>
      <c r="JT59" s="30"/>
      <c r="JU59" s="30"/>
      <c r="JV59" s="30"/>
      <c r="JW59" s="30"/>
      <c r="JX59" s="30"/>
      <c r="JY59" s="30"/>
      <c r="JZ59" s="30"/>
      <c r="KA59" s="30"/>
      <c r="KB59" s="30"/>
      <c r="KC59" s="30"/>
      <c r="KD59" s="30"/>
      <c r="KE59" s="30"/>
      <c r="KF59" s="30"/>
      <c r="KG59" s="30"/>
      <c r="KH59" s="30"/>
      <c r="KI59" s="30"/>
      <c r="KJ59" s="30"/>
      <c r="KK59" s="31"/>
      <c r="KL59" s="32"/>
      <c r="KM59" s="33"/>
      <c r="KN59" s="30"/>
      <c r="KO59" s="30"/>
      <c r="KP59" s="30"/>
      <c r="KQ59" s="30"/>
      <c r="KR59" s="30"/>
      <c r="KS59" s="30"/>
      <c r="KT59" s="30"/>
      <c r="KU59" s="30"/>
      <c r="KV59" s="30"/>
      <c r="KW59" s="30"/>
      <c r="KX59" s="30"/>
      <c r="KY59" s="30"/>
      <c r="KZ59" s="30"/>
      <c r="LA59" s="30"/>
      <c r="LB59" s="30"/>
      <c r="LC59" s="30"/>
      <c r="LD59" s="30"/>
      <c r="LE59" s="30"/>
      <c r="LF59" s="30"/>
      <c r="LG59" s="30"/>
      <c r="LH59" s="30"/>
      <c r="LI59" s="30"/>
      <c r="LJ59" s="30"/>
      <c r="LK59" s="30"/>
      <c r="LL59" s="30"/>
      <c r="LM59" s="30"/>
      <c r="LN59" s="30"/>
      <c r="LO59" s="30"/>
      <c r="LP59" s="30"/>
      <c r="LQ59" s="30"/>
      <c r="LR59" s="30"/>
      <c r="LS59" s="30"/>
      <c r="LT59" s="30"/>
      <c r="LU59" s="30"/>
      <c r="LV59" s="30"/>
      <c r="LW59" s="30"/>
      <c r="LX59" s="30"/>
      <c r="LY59" s="30"/>
      <c r="LZ59" s="30"/>
      <c r="MA59" s="30"/>
      <c r="MB59" s="30"/>
      <c r="MC59" s="30"/>
      <c r="MD59" s="30"/>
      <c r="ME59" s="30"/>
      <c r="MF59" s="30"/>
      <c r="MG59" s="30"/>
      <c r="MH59" s="34"/>
    </row>
    <row r="60" spans="1:346" s="28" customFormat="1" ht="21.9" customHeight="1" thickBot="1">
      <c r="A60" s="267"/>
      <c r="B60" s="236"/>
      <c r="C60" s="238"/>
      <c r="D60" s="240"/>
      <c r="E60" s="61">
        <v>0.34</v>
      </c>
      <c r="F60" s="73">
        <v>45981</v>
      </c>
      <c r="G60" s="58"/>
      <c r="H60" s="59" t="s">
        <v>158</v>
      </c>
      <c r="I60" s="21"/>
      <c r="J60" s="96" t="str">
        <f t="shared" si="87"/>
        <v/>
      </c>
      <c r="K60" s="29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6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1"/>
      <c r="BV60" s="32"/>
      <c r="BW60" s="33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6"/>
      <c r="IR60" s="30"/>
      <c r="IS60" s="30"/>
      <c r="IT60" s="30"/>
      <c r="IU60" s="30"/>
      <c r="IV60" s="30"/>
      <c r="IW60" s="30"/>
      <c r="IX60" s="30"/>
      <c r="IY60" s="30"/>
      <c r="IZ60" s="30"/>
      <c r="JA60" s="30"/>
      <c r="JB60" s="30"/>
      <c r="JC60" s="30"/>
      <c r="JD60" s="30"/>
      <c r="JE60" s="30"/>
      <c r="JF60" s="30"/>
      <c r="JG60" s="30"/>
      <c r="JH60" s="30"/>
      <c r="JI60" s="30"/>
      <c r="JJ60" s="30"/>
      <c r="JK60" s="30"/>
      <c r="JL60" s="30"/>
      <c r="JM60" s="30"/>
      <c r="JN60" s="30"/>
      <c r="JO60" s="30"/>
      <c r="JP60" s="30"/>
      <c r="JQ60" s="30"/>
      <c r="JR60" s="30"/>
      <c r="JS60" s="30"/>
      <c r="JT60" s="30"/>
      <c r="JU60" s="30"/>
      <c r="JV60" s="30"/>
      <c r="JW60" s="30"/>
      <c r="JX60" s="30"/>
      <c r="JY60" s="30"/>
      <c r="JZ60" s="30"/>
      <c r="KA60" s="30"/>
      <c r="KB60" s="30"/>
      <c r="KC60" s="30"/>
      <c r="KD60" s="30"/>
      <c r="KE60" s="30"/>
      <c r="KF60" s="30"/>
      <c r="KG60" s="30"/>
      <c r="KH60" s="30"/>
      <c r="KI60" s="30"/>
      <c r="KJ60" s="30"/>
      <c r="KK60" s="31"/>
      <c r="KL60" s="32"/>
      <c r="KM60" s="33"/>
      <c r="KN60" s="30"/>
      <c r="KO60" s="30"/>
      <c r="KP60" s="30"/>
      <c r="KQ60" s="30"/>
      <c r="KR60" s="30"/>
      <c r="KS60" s="30"/>
      <c r="KT60" s="30"/>
      <c r="KU60" s="30"/>
      <c r="KV60" s="30"/>
      <c r="KW60" s="30"/>
      <c r="KX60" s="30"/>
      <c r="KY60" s="30"/>
      <c r="KZ60" s="30"/>
      <c r="LA60" s="30"/>
      <c r="LB60" s="30"/>
      <c r="LC60" s="30"/>
      <c r="LD60" s="30"/>
      <c r="LE60" s="30"/>
      <c r="LF60" s="30"/>
      <c r="LG60" s="30"/>
      <c r="LH60" s="30"/>
      <c r="LI60" s="30"/>
      <c r="LJ60" s="30"/>
      <c r="LK60" s="30"/>
      <c r="LL60" s="30"/>
      <c r="LM60" s="30"/>
      <c r="LN60" s="30"/>
      <c r="LO60" s="30"/>
      <c r="LP60" s="30"/>
      <c r="LQ60" s="30"/>
      <c r="LR60" s="30"/>
      <c r="LS60" s="30"/>
      <c r="LT60" s="30"/>
      <c r="LU60" s="30"/>
      <c r="LV60" s="30"/>
      <c r="LW60" s="30"/>
      <c r="LX60" s="30"/>
      <c r="LY60" s="30"/>
      <c r="LZ60" s="30"/>
      <c r="MA60" s="30"/>
      <c r="MB60" s="30"/>
      <c r="MC60" s="30"/>
      <c r="MD60" s="30"/>
      <c r="ME60" s="30"/>
      <c r="MF60" s="30"/>
      <c r="MG60" s="30"/>
      <c r="MH60" s="34"/>
    </row>
    <row r="61" spans="1:346" s="28" customFormat="1" ht="21.9" customHeight="1" thickBot="1">
      <c r="A61" s="267"/>
      <c r="B61" s="235">
        <v>3.12</v>
      </c>
      <c r="C61" s="237" t="s">
        <v>207</v>
      </c>
      <c r="D61" s="239" t="s">
        <v>177</v>
      </c>
      <c r="E61" s="61">
        <v>0.03</v>
      </c>
      <c r="F61" s="73">
        <v>46001</v>
      </c>
      <c r="G61" s="58">
        <v>46037</v>
      </c>
      <c r="H61" s="60" t="s">
        <v>154</v>
      </c>
      <c r="I61" s="21"/>
      <c r="J61" s="96">
        <f t="shared" si="87"/>
        <v>37</v>
      </c>
      <c r="K61" s="29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6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1"/>
      <c r="BV61" s="32"/>
      <c r="BW61" s="33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/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30"/>
      <c r="HJ61" s="30"/>
      <c r="HK61" s="30"/>
      <c r="HL61" s="3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30"/>
      <c r="IB61" s="30"/>
      <c r="IC61" s="30"/>
      <c r="ID61" s="30"/>
      <c r="IE61" s="30"/>
      <c r="IF61" s="30"/>
      <c r="IG61" s="30"/>
      <c r="IH61" s="30"/>
      <c r="II61" s="30"/>
      <c r="IJ61" s="30"/>
      <c r="IK61" s="30"/>
      <c r="IL61" s="30"/>
      <c r="IM61" s="30"/>
      <c r="IN61" s="30"/>
      <c r="IO61" s="30"/>
      <c r="IP61" s="30"/>
      <c r="IQ61" s="36"/>
      <c r="IR61" s="30"/>
      <c r="IS61" s="30"/>
      <c r="IT61" s="30"/>
      <c r="IU61" s="30"/>
      <c r="IV61" s="30"/>
      <c r="IW61" s="30"/>
      <c r="IX61" s="30"/>
      <c r="IY61" s="30"/>
      <c r="IZ61" s="30"/>
      <c r="JA61" s="30"/>
      <c r="JB61" s="30"/>
      <c r="JC61" s="30"/>
      <c r="JD61" s="30"/>
      <c r="JE61" s="30"/>
      <c r="JF61" s="30"/>
      <c r="JG61" s="30"/>
      <c r="JH61" s="30"/>
      <c r="JI61" s="30"/>
      <c r="JJ61" s="30"/>
      <c r="JK61" s="30"/>
      <c r="JL61" s="30"/>
      <c r="JM61" s="30"/>
      <c r="JN61" s="30"/>
      <c r="JO61" s="30"/>
      <c r="JP61" s="30"/>
      <c r="JQ61" s="30"/>
      <c r="JR61" s="30"/>
      <c r="JS61" s="30"/>
      <c r="JT61" s="30"/>
      <c r="JU61" s="30"/>
      <c r="JV61" s="30"/>
      <c r="JW61" s="30"/>
      <c r="JX61" s="30"/>
      <c r="JY61" s="30"/>
      <c r="JZ61" s="30"/>
      <c r="KA61" s="30"/>
      <c r="KB61" s="30"/>
      <c r="KC61" s="30"/>
      <c r="KD61" s="30"/>
      <c r="KE61" s="30"/>
      <c r="KF61" s="30"/>
      <c r="KG61" s="30"/>
      <c r="KH61" s="30"/>
      <c r="KI61" s="30"/>
      <c r="KJ61" s="30"/>
      <c r="KK61" s="31"/>
      <c r="KL61" s="32"/>
      <c r="KM61" s="33"/>
      <c r="KN61" s="30"/>
      <c r="KO61" s="30"/>
      <c r="KP61" s="30"/>
      <c r="KQ61" s="30"/>
      <c r="KR61" s="30"/>
      <c r="KS61" s="30"/>
      <c r="KT61" s="30"/>
      <c r="KU61" s="30"/>
      <c r="KV61" s="30"/>
      <c r="KW61" s="30"/>
      <c r="KX61" s="30"/>
      <c r="KY61" s="30"/>
      <c r="KZ61" s="30"/>
      <c r="LA61" s="30"/>
      <c r="LB61" s="30"/>
      <c r="LC61" s="30"/>
      <c r="LD61" s="30"/>
      <c r="LE61" s="30"/>
      <c r="LF61" s="30"/>
      <c r="LG61" s="30"/>
      <c r="LH61" s="30"/>
      <c r="LI61" s="30"/>
      <c r="LJ61" s="30"/>
      <c r="LK61" s="30"/>
      <c r="LL61" s="30"/>
      <c r="LM61" s="30"/>
      <c r="LN61" s="30"/>
      <c r="LO61" s="30"/>
      <c r="LP61" s="30"/>
      <c r="LQ61" s="30"/>
      <c r="LR61" s="30"/>
      <c r="LS61" s="30"/>
      <c r="LT61" s="30"/>
      <c r="LU61" s="30"/>
      <c r="LV61" s="30"/>
      <c r="LW61" s="30"/>
      <c r="LX61" s="30"/>
      <c r="LY61" s="30"/>
      <c r="LZ61" s="30"/>
      <c r="MA61" s="30"/>
      <c r="MB61" s="30"/>
      <c r="MC61" s="30"/>
      <c r="MD61" s="30"/>
      <c r="ME61" s="30"/>
      <c r="MF61" s="30"/>
      <c r="MG61" s="30"/>
      <c r="MH61" s="34"/>
    </row>
    <row r="62" spans="1:346" s="28" customFormat="1" ht="21.9" customHeight="1" thickBot="1">
      <c r="A62" s="267"/>
      <c r="B62" s="236"/>
      <c r="C62" s="238"/>
      <c r="D62" s="240"/>
      <c r="E62" s="61">
        <v>0</v>
      </c>
      <c r="F62" s="73">
        <v>46001</v>
      </c>
      <c r="G62" s="58"/>
      <c r="H62" s="59" t="s">
        <v>158</v>
      </c>
      <c r="I62" s="21"/>
      <c r="J62" s="96" t="str">
        <f t="shared" si="87"/>
        <v/>
      </c>
      <c r="K62" s="29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6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1"/>
      <c r="BV62" s="32"/>
      <c r="BW62" s="33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0"/>
      <c r="GW62" s="30"/>
      <c r="GX62" s="30"/>
      <c r="GY62" s="30"/>
      <c r="GZ62" s="30"/>
      <c r="HA62" s="30"/>
      <c r="HB62" s="30"/>
      <c r="HC62" s="30"/>
      <c r="HD62" s="30"/>
      <c r="HE62" s="30"/>
      <c r="HF62" s="30"/>
      <c r="HG62" s="30"/>
      <c r="HH62" s="30"/>
      <c r="HI62" s="30"/>
      <c r="HJ62" s="30"/>
      <c r="HK62" s="30"/>
      <c r="HL62" s="30"/>
      <c r="HM62" s="30"/>
      <c r="HN62" s="30"/>
      <c r="HO62" s="30"/>
      <c r="HP62" s="30"/>
      <c r="HQ62" s="30"/>
      <c r="HR62" s="30"/>
      <c r="HS62" s="30"/>
      <c r="HT62" s="30"/>
      <c r="HU62" s="30"/>
      <c r="HV62" s="30"/>
      <c r="HW62" s="30"/>
      <c r="HX62" s="30"/>
      <c r="HY62" s="30"/>
      <c r="HZ62" s="30"/>
      <c r="IA62" s="30"/>
      <c r="IB62" s="30"/>
      <c r="IC62" s="30"/>
      <c r="ID62" s="30"/>
      <c r="IE62" s="30"/>
      <c r="IF62" s="30"/>
      <c r="IG62" s="30"/>
      <c r="IH62" s="30"/>
      <c r="II62" s="30"/>
      <c r="IJ62" s="30"/>
      <c r="IK62" s="30"/>
      <c r="IL62" s="30"/>
      <c r="IM62" s="30"/>
      <c r="IN62" s="30"/>
      <c r="IO62" s="30"/>
      <c r="IP62" s="30"/>
      <c r="IQ62" s="36"/>
      <c r="IR62" s="30"/>
      <c r="IS62" s="30"/>
      <c r="IT62" s="30"/>
      <c r="IU62" s="30"/>
      <c r="IV62" s="30"/>
      <c r="IW62" s="30"/>
      <c r="IX62" s="30"/>
      <c r="IY62" s="30"/>
      <c r="IZ62" s="30"/>
      <c r="JA62" s="30"/>
      <c r="JB62" s="30"/>
      <c r="JC62" s="30"/>
      <c r="JD62" s="30"/>
      <c r="JE62" s="30"/>
      <c r="JF62" s="30"/>
      <c r="JG62" s="30"/>
      <c r="JH62" s="30"/>
      <c r="JI62" s="30"/>
      <c r="JJ62" s="30"/>
      <c r="JK62" s="30"/>
      <c r="JL62" s="30"/>
      <c r="JM62" s="30"/>
      <c r="JN62" s="30"/>
      <c r="JO62" s="30"/>
      <c r="JP62" s="30"/>
      <c r="JQ62" s="30"/>
      <c r="JR62" s="30"/>
      <c r="JS62" s="30"/>
      <c r="JT62" s="30"/>
      <c r="JU62" s="30"/>
      <c r="JV62" s="30"/>
      <c r="JW62" s="30"/>
      <c r="JX62" s="30"/>
      <c r="JY62" s="30"/>
      <c r="JZ62" s="30"/>
      <c r="KA62" s="30"/>
      <c r="KB62" s="30"/>
      <c r="KC62" s="30"/>
      <c r="KD62" s="30"/>
      <c r="KE62" s="30"/>
      <c r="KF62" s="30"/>
      <c r="KG62" s="30"/>
      <c r="KH62" s="30"/>
      <c r="KI62" s="30"/>
      <c r="KJ62" s="30"/>
      <c r="KK62" s="31"/>
      <c r="KL62" s="32"/>
      <c r="KM62" s="33"/>
      <c r="KN62" s="30"/>
      <c r="KO62" s="30"/>
      <c r="KP62" s="30"/>
      <c r="KQ62" s="30"/>
      <c r="KR62" s="30"/>
      <c r="KS62" s="30"/>
      <c r="KT62" s="30"/>
      <c r="KU62" s="30"/>
      <c r="KV62" s="30"/>
      <c r="KW62" s="30"/>
      <c r="KX62" s="30"/>
      <c r="KY62" s="30"/>
      <c r="KZ62" s="30"/>
      <c r="LA62" s="30"/>
      <c r="LB62" s="30"/>
      <c r="LC62" s="30"/>
      <c r="LD62" s="30"/>
      <c r="LE62" s="30"/>
      <c r="LF62" s="30"/>
      <c r="LG62" s="30"/>
      <c r="LH62" s="30"/>
      <c r="LI62" s="30"/>
      <c r="LJ62" s="30"/>
      <c r="LK62" s="30"/>
      <c r="LL62" s="30"/>
      <c r="LM62" s="30"/>
      <c r="LN62" s="30"/>
      <c r="LO62" s="30"/>
      <c r="LP62" s="30"/>
      <c r="LQ62" s="30"/>
      <c r="LR62" s="30"/>
      <c r="LS62" s="30"/>
      <c r="LT62" s="30"/>
      <c r="LU62" s="30"/>
      <c r="LV62" s="30"/>
      <c r="LW62" s="30"/>
      <c r="LX62" s="30"/>
      <c r="LY62" s="30"/>
      <c r="LZ62" s="30"/>
      <c r="MA62" s="30"/>
      <c r="MB62" s="30"/>
      <c r="MC62" s="30"/>
      <c r="MD62" s="30"/>
      <c r="ME62" s="30"/>
      <c r="MF62" s="30"/>
      <c r="MG62" s="30"/>
      <c r="MH62" s="34"/>
    </row>
    <row r="63" spans="1:346" s="28" customFormat="1" ht="21.9" customHeight="1" thickBot="1">
      <c r="A63" s="267"/>
      <c r="B63" s="235">
        <v>3.13</v>
      </c>
      <c r="C63" s="237" t="s">
        <v>208</v>
      </c>
      <c r="D63" s="239" t="s">
        <v>177</v>
      </c>
      <c r="E63" s="61">
        <v>0</v>
      </c>
      <c r="F63" s="73">
        <v>46028</v>
      </c>
      <c r="G63" s="58">
        <v>46059</v>
      </c>
      <c r="H63" s="60" t="s">
        <v>154</v>
      </c>
      <c r="I63" s="21"/>
      <c r="J63" s="96">
        <f t="shared" si="87"/>
        <v>32</v>
      </c>
      <c r="K63" s="29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6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1"/>
      <c r="BV63" s="32"/>
      <c r="BW63" s="33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30"/>
      <c r="GX63" s="30"/>
      <c r="GY63" s="30"/>
      <c r="GZ63" s="30"/>
      <c r="HA63" s="30"/>
      <c r="HB63" s="30"/>
      <c r="HC63" s="30"/>
      <c r="HD63" s="30"/>
      <c r="HE63" s="30"/>
      <c r="HF63" s="30"/>
      <c r="HG63" s="30"/>
      <c r="HH63" s="30"/>
      <c r="HI63" s="30"/>
      <c r="HJ63" s="30"/>
      <c r="HK63" s="30"/>
      <c r="HL63" s="30"/>
      <c r="HM63" s="30"/>
      <c r="HN63" s="30"/>
      <c r="HO63" s="30"/>
      <c r="HP63" s="30"/>
      <c r="HQ63" s="30"/>
      <c r="HR63" s="30"/>
      <c r="HS63" s="30"/>
      <c r="HT63" s="30"/>
      <c r="HU63" s="30"/>
      <c r="HV63" s="30"/>
      <c r="HW63" s="30"/>
      <c r="HX63" s="30"/>
      <c r="HY63" s="30"/>
      <c r="HZ63" s="30"/>
      <c r="IA63" s="30"/>
      <c r="IB63" s="30"/>
      <c r="IC63" s="30"/>
      <c r="ID63" s="30"/>
      <c r="IE63" s="30"/>
      <c r="IF63" s="30"/>
      <c r="IG63" s="30"/>
      <c r="IH63" s="30"/>
      <c r="II63" s="30"/>
      <c r="IJ63" s="30"/>
      <c r="IK63" s="30"/>
      <c r="IL63" s="30"/>
      <c r="IM63" s="30"/>
      <c r="IN63" s="30"/>
      <c r="IO63" s="30"/>
      <c r="IP63" s="30"/>
      <c r="IQ63" s="36"/>
      <c r="IR63" s="30"/>
      <c r="IS63" s="30"/>
      <c r="IT63" s="30"/>
      <c r="IU63" s="30"/>
      <c r="IV63" s="30"/>
      <c r="IW63" s="30"/>
      <c r="IX63" s="30"/>
      <c r="IY63" s="30"/>
      <c r="IZ63" s="30"/>
      <c r="JA63" s="30"/>
      <c r="JB63" s="30"/>
      <c r="JC63" s="30"/>
      <c r="JD63" s="30"/>
      <c r="JE63" s="30"/>
      <c r="JF63" s="30"/>
      <c r="JG63" s="30"/>
      <c r="JH63" s="30"/>
      <c r="JI63" s="30"/>
      <c r="JJ63" s="30"/>
      <c r="JK63" s="30"/>
      <c r="JL63" s="30"/>
      <c r="JM63" s="30"/>
      <c r="JN63" s="30"/>
      <c r="JO63" s="30"/>
      <c r="JP63" s="30"/>
      <c r="JQ63" s="30"/>
      <c r="JR63" s="30"/>
      <c r="JS63" s="30"/>
      <c r="JT63" s="30"/>
      <c r="JU63" s="30"/>
      <c r="JV63" s="30"/>
      <c r="JW63" s="30"/>
      <c r="JX63" s="30"/>
      <c r="JY63" s="30"/>
      <c r="JZ63" s="30"/>
      <c r="KA63" s="30"/>
      <c r="KB63" s="30"/>
      <c r="KC63" s="30"/>
      <c r="KD63" s="30"/>
      <c r="KE63" s="30"/>
      <c r="KF63" s="30"/>
      <c r="KG63" s="30"/>
      <c r="KH63" s="30"/>
      <c r="KI63" s="30"/>
      <c r="KJ63" s="30"/>
      <c r="KK63" s="31"/>
      <c r="KL63" s="32"/>
      <c r="KM63" s="33"/>
      <c r="KN63" s="30"/>
      <c r="KO63" s="30"/>
      <c r="KP63" s="30"/>
      <c r="KQ63" s="30"/>
      <c r="KR63" s="30"/>
      <c r="KS63" s="30"/>
      <c r="KT63" s="30"/>
      <c r="KU63" s="30"/>
      <c r="KV63" s="30"/>
      <c r="KW63" s="30"/>
      <c r="KX63" s="30"/>
      <c r="KY63" s="30"/>
      <c r="KZ63" s="30"/>
      <c r="LA63" s="30"/>
      <c r="LB63" s="30"/>
      <c r="LC63" s="30"/>
      <c r="LD63" s="30"/>
      <c r="LE63" s="30"/>
      <c r="LF63" s="30"/>
      <c r="LG63" s="30"/>
      <c r="LH63" s="30"/>
      <c r="LI63" s="30"/>
      <c r="LJ63" s="30"/>
      <c r="LK63" s="30"/>
      <c r="LL63" s="30"/>
      <c r="LM63" s="30"/>
      <c r="LN63" s="30"/>
      <c r="LO63" s="30"/>
      <c r="LP63" s="30"/>
      <c r="LQ63" s="30"/>
      <c r="LR63" s="30"/>
      <c r="LS63" s="30"/>
      <c r="LT63" s="30"/>
      <c r="LU63" s="30"/>
      <c r="LV63" s="30"/>
      <c r="LW63" s="30"/>
      <c r="LX63" s="30"/>
      <c r="LY63" s="30"/>
      <c r="LZ63" s="30"/>
      <c r="MA63" s="30"/>
      <c r="MB63" s="30"/>
      <c r="MC63" s="30"/>
      <c r="MD63" s="30"/>
      <c r="ME63" s="30"/>
      <c r="MF63" s="30"/>
      <c r="MG63" s="30"/>
      <c r="MH63" s="34"/>
    </row>
    <row r="64" spans="1:346" s="28" customFormat="1" ht="21.9" customHeight="1" thickBot="1">
      <c r="A64" s="267"/>
      <c r="B64" s="236"/>
      <c r="C64" s="238"/>
      <c r="D64" s="240"/>
      <c r="E64" s="61">
        <v>0</v>
      </c>
      <c r="F64" s="73"/>
      <c r="G64" s="58"/>
      <c r="H64" s="59" t="s">
        <v>158</v>
      </c>
      <c r="I64" s="21"/>
      <c r="J64" s="96" t="str">
        <f t="shared" si="87"/>
        <v/>
      </c>
      <c r="K64" s="29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6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1"/>
      <c r="BV64" s="32"/>
      <c r="BW64" s="33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/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30"/>
      <c r="HJ64" s="30"/>
      <c r="HK64" s="30"/>
      <c r="HL64" s="30"/>
      <c r="HM64" s="30"/>
      <c r="HN64" s="30"/>
      <c r="HO64" s="30"/>
      <c r="HP64" s="30"/>
      <c r="HQ64" s="30"/>
      <c r="HR64" s="30"/>
      <c r="HS64" s="30"/>
      <c r="HT64" s="30"/>
      <c r="HU64" s="30"/>
      <c r="HV64" s="30"/>
      <c r="HW64" s="30"/>
      <c r="HX64" s="30"/>
      <c r="HY64" s="30"/>
      <c r="HZ64" s="30"/>
      <c r="IA64" s="30"/>
      <c r="IB64" s="30"/>
      <c r="IC64" s="30"/>
      <c r="ID64" s="30"/>
      <c r="IE64" s="30"/>
      <c r="IF64" s="30"/>
      <c r="IG64" s="30"/>
      <c r="IH64" s="30"/>
      <c r="II64" s="30"/>
      <c r="IJ64" s="30"/>
      <c r="IK64" s="30"/>
      <c r="IL64" s="30"/>
      <c r="IM64" s="30"/>
      <c r="IN64" s="30"/>
      <c r="IO64" s="30"/>
      <c r="IP64" s="30"/>
      <c r="IQ64" s="36"/>
      <c r="IR64" s="30"/>
      <c r="IS64" s="30"/>
      <c r="IT64" s="30"/>
      <c r="IU64" s="30"/>
      <c r="IV64" s="30"/>
      <c r="IW64" s="30"/>
      <c r="IX64" s="30"/>
      <c r="IY64" s="30"/>
      <c r="IZ64" s="30"/>
      <c r="JA64" s="30"/>
      <c r="JB64" s="30"/>
      <c r="JC64" s="30"/>
      <c r="JD64" s="30"/>
      <c r="JE64" s="30"/>
      <c r="JF64" s="30"/>
      <c r="JG64" s="30"/>
      <c r="JH64" s="30"/>
      <c r="JI64" s="30"/>
      <c r="JJ64" s="30"/>
      <c r="JK64" s="30"/>
      <c r="JL64" s="30"/>
      <c r="JM64" s="30"/>
      <c r="JN64" s="30"/>
      <c r="JO64" s="30"/>
      <c r="JP64" s="30"/>
      <c r="JQ64" s="30"/>
      <c r="JR64" s="30"/>
      <c r="JS64" s="30"/>
      <c r="JT64" s="30"/>
      <c r="JU64" s="30"/>
      <c r="JV64" s="30"/>
      <c r="JW64" s="30"/>
      <c r="JX64" s="30"/>
      <c r="JY64" s="30"/>
      <c r="JZ64" s="30"/>
      <c r="KA64" s="30"/>
      <c r="KB64" s="30"/>
      <c r="KC64" s="30"/>
      <c r="KD64" s="30"/>
      <c r="KE64" s="30"/>
      <c r="KF64" s="30"/>
      <c r="KG64" s="30"/>
      <c r="KH64" s="30"/>
      <c r="KI64" s="30"/>
      <c r="KJ64" s="30"/>
      <c r="KK64" s="31"/>
      <c r="KL64" s="32"/>
      <c r="KM64" s="33"/>
      <c r="KN64" s="30"/>
      <c r="KO64" s="30"/>
      <c r="KP64" s="30"/>
      <c r="KQ64" s="30"/>
      <c r="KR64" s="30"/>
      <c r="KS64" s="30"/>
      <c r="KT64" s="30"/>
      <c r="KU64" s="30"/>
      <c r="KV64" s="30"/>
      <c r="KW64" s="30"/>
      <c r="KX64" s="30"/>
      <c r="KY64" s="30"/>
      <c r="KZ64" s="30"/>
      <c r="LA64" s="30"/>
      <c r="LB64" s="30"/>
      <c r="LC64" s="30"/>
      <c r="LD64" s="30"/>
      <c r="LE64" s="30"/>
      <c r="LF64" s="30"/>
      <c r="LG64" s="30"/>
      <c r="LH64" s="30"/>
      <c r="LI64" s="30"/>
      <c r="LJ64" s="30"/>
      <c r="LK64" s="30"/>
      <c r="LL64" s="30"/>
      <c r="LM64" s="30"/>
      <c r="LN64" s="30"/>
      <c r="LO64" s="30"/>
      <c r="LP64" s="30"/>
      <c r="LQ64" s="30"/>
      <c r="LR64" s="30"/>
      <c r="LS64" s="30"/>
      <c r="LT64" s="30"/>
      <c r="LU64" s="30"/>
      <c r="LV64" s="30"/>
      <c r="LW64" s="30"/>
      <c r="LX64" s="30"/>
      <c r="LY64" s="30"/>
      <c r="LZ64" s="30"/>
      <c r="MA64" s="30"/>
      <c r="MB64" s="30"/>
      <c r="MC64" s="30"/>
      <c r="MD64" s="30"/>
      <c r="ME64" s="30"/>
      <c r="MF64" s="30"/>
      <c r="MG64" s="30"/>
      <c r="MH64" s="34"/>
    </row>
    <row r="65" spans="1:346" s="28" customFormat="1" ht="21.9" customHeight="1" thickBot="1">
      <c r="A65" s="267"/>
      <c r="B65" s="235">
        <v>3.14</v>
      </c>
      <c r="C65" s="237" t="s">
        <v>209</v>
      </c>
      <c r="D65" s="239" t="s">
        <v>177</v>
      </c>
      <c r="E65" s="61">
        <v>0</v>
      </c>
      <c r="F65" s="73">
        <f>F63+21</f>
        <v>46049</v>
      </c>
      <c r="G65" s="58">
        <f>G63+7</f>
        <v>46066</v>
      </c>
      <c r="H65" s="60" t="s">
        <v>154</v>
      </c>
      <c r="I65" s="21"/>
      <c r="J65" s="96">
        <f t="shared" si="87"/>
        <v>18</v>
      </c>
      <c r="K65" s="29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6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1"/>
      <c r="BV65" s="32"/>
      <c r="BW65" s="33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30"/>
      <c r="HJ65" s="30"/>
      <c r="HK65" s="30"/>
      <c r="HL65" s="30"/>
      <c r="HM65" s="30"/>
      <c r="HN65" s="30"/>
      <c r="HO65" s="30"/>
      <c r="HP65" s="30"/>
      <c r="HQ65" s="30"/>
      <c r="HR65" s="30"/>
      <c r="HS65" s="30"/>
      <c r="HT65" s="30"/>
      <c r="HU65" s="30"/>
      <c r="HV65" s="30"/>
      <c r="HW65" s="30"/>
      <c r="HX65" s="30"/>
      <c r="HY65" s="30"/>
      <c r="HZ65" s="30"/>
      <c r="IA65" s="30"/>
      <c r="IB65" s="30"/>
      <c r="IC65" s="30"/>
      <c r="ID65" s="30"/>
      <c r="IE65" s="30"/>
      <c r="IF65" s="30"/>
      <c r="IG65" s="30"/>
      <c r="IH65" s="30"/>
      <c r="II65" s="30"/>
      <c r="IJ65" s="30"/>
      <c r="IK65" s="30"/>
      <c r="IL65" s="30"/>
      <c r="IM65" s="30"/>
      <c r="IN65" s="30"/>
      <c r="IO65" s="30"/>
      <c r="IP65" s="30"/>
      <c r="IQ65" s="36"/>
      <c r="IR65" s="30"/>
      <c r="IS65" s="30"/>
      <c r="IT65" s="30"/>
      <c r="IU65" s="30"/>
      <c r="IV65" s="30"/>
      <c r="IW65" s="30"/>
      <c r="IX65" s="30"/>
      <c r="IY65" s="30"/>
      <c r="IZ65" s="30"/>
      <c r="JA65" s="30"/>
      <c r="JB65" s="30"/>
      <c r="JC65" s="30"/>
      <c r="JD65" s="30"/>
      <c r="JE65" s="30"/>
      <c r="JF65" s="30"/>
      <c r="JG65" s="30"/>
      <c r="JH65" s="30"/>
      <c r="JI65" s="30"/>
      <c r="JJ65" s="30"/>
      <c r="JK65" s="30"/>
      <c r="JL65" s="30"/>
      <c r="JM65" s="30"/>
      <c r="JN65" s="30"/>
      <c r="JO65" s="30"/>
      <c r="JP65" s="30"/>
      <c r="JQ65" s="30"/>
      <c r="JR65" s="30"/>
      <c r="JS65" s="30"/>
      <c r="JT65" s="30"/>
      <c r="JU65" s="30"/>
      <c r="JV65" s="30"/>
      <c r="JW65" s="30"/>
      <c r="JX65" s="30"/>
      <c r="JY65" s="30"/>
      <c r="JZ65" s="30"/>
      <c r="KA65" s="30"/>
      <c r="KB65" s="30"/>
      <c r="KC65" s="30"/>
      <c r="KD65" s="30"/>
      <c r="KE65" s="30"/>
      <c r="KF65" s="30"/>
      <c r="KG65" s="30"/>
      <c r="KH65" s="30"/>
      <c r="KI65" s="30"/>
      <c r="KJ65" s="30"/>
      <c r="KK65" s="31"/>
      <c r="KL65" s="32"/>
      <c r="KM65" s="33"/>
      <c r="KN65" s="30"/>
      <c r="KO65" s="30"/>
      <c r="KP65" s="30"/>
      <c r="KQ65" s="30"/>
      <c r="KR65" s="30"/>
      <c r="KS65" s="30"/>
      <c r="KT65" s="30"/>
      <c r="KU65" s="30"/>
      <c r="KV65" s="30"/>
      <c r="KW65" s="30"/>
      <c r="KX65" s="30"/>
      <c r="KY65" s="30"/>
      <c r="KZ65" s="30"/>
      <c r="LA65" s="30"/>
      <c r="LB65" s="30"/>
      <c r="LC65" s="30"/>
      <c r="LD65" s="30"/>
      <c r="LE65" s="30"/>
      <c r="LF65" s="30"/>
      <c r="LG65" s="30"/>
      <c r="LH65" s="30"/>
      <c r="LI65" s="30"/>
      <c r="LJ65" s="30"/>
      <c r="LK65" s="30"/>
      <c r="LL65" s="30"/>
      <c r="LM65" s="30"/>
      <c r="LN65" s="30"/>
      <c r="LO65" s="30"/>
      <c r="LP65" s="30"/>
      <c r="LQ65" s="30"/>
      <c r="LR65" s="30"/>
      <c r="LS65" s="30"/>
      <c r="LT65" s="30"/>
      <c r="LU65" s="30"/>
      <c r="LV65" s="30"/>
      <c r="LW65" s="30"/>
      <c r="LX65" s="30"/>
      <c r="LY65" s="30"/>
      <c r="LZ65" s="30"/>
      <c r="MA65" s="30"/>
      <c r="MB65" s="30"/>
      <c r="MC65" s="30"/>
      <c r="MD65" s="30"/>
      <c r="ME65" s="30"/>
      <c r="MF65" s="30"/>
      <c r="MG65" s="30"/>
      <c r="MH65" s="34"/>
    </row>
    <row r="66" spans="1:346" s="28" customFormat="1" ht="21.9" customHeight="1" thickBot="1">
      <c r="A66" s="267"/>
      <c r="B66" s="236"/>
      <c r="C66" s="238"/>
      <c r="D66" s="240"/>
      <c r="E66" s="61">
        <v>0</v>
      </c>
      <c r="F66" s="73"/>
      <c r="G66" s="58"/>
      <c r="H66" s="59" t="s">
        <v>158</v>
      </c>
      <c r="I66" s="21"/>
      <c r="J66" s="96" t="str">
        <f t="shared" si="87"/>
        <v/>
      </c>
      <c r="K66" s="29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6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1"/>
      <c r="BV66" s="32"/>
      <c r="BW66" s="33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/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/>
      <c r="IN66" s="30"/>
      <c r="IO66" s="30"/>
      <c r="IP66" s="30"/>
      <c r="IQ66" s="36"/>
      <c r="IR66" s="30"/>
      <c r="IS66" s="30"/>
      <c r="IT66" s="30"/>
      <c r="IU66" s="30"/>
      <c r="IV66" s="30"/>
      <c r="IW66" s="30"/>
      <c r="IX66" s="30"/>
      <c r="IY66" s="30"/>
      <c r="IZ66" s="30"/>
      <c r="JA66" s="30"/>
      <c r="JB66" s="30"/>
      <c r="JC66" s="30"/>
      <c r="JD66" s="30"/>
      <c r="JE66" s="30"/>
      <c r="JF66" s="30"/>
      <c r="JG66" s="30"/>
      <c r="JH66" s="30"/>
      <c r="JI66" s="30"/>
      <c r="JJ66" s="30"/>
      <c r="JK66" s="30"/>
      <c r="JL66" s="30"/>
      <c r="JM66" s="30"/>
      <c r="JN66" s="30"/>
      <c r="JO66" s="30"/>
      <c r="JP66" s="30"/>
      <c r="JQ66" s="30"/>
      <c r="JR66" s="30"/>
      <c r="JS66" s="30"/>
      <c r="JT66" s="30"/>
      <c r="JU66" s="30"/>
      <c r="JV66" s="30"/>
      <c r="JW66" s="30"/>
      <c r="JX66" s="30"/>
      <c r="JY66" s="30"/>
      <c r="JZ66" s="30"/>
      <c r="KA66" s="30"/>
      <c r="KB66" s="30"/>
      <c r="KC66" s="30"/>
      <c r="KD66" s="30"/>
      <c r="KE66" s="30"/>
      <c r="KF66" s="30"/>
      <c r="KG66" s="30"/>
      <c r="KH66" s="30"/>
      <c r="KI66" s="30"/>
      <c r="KJ66" s="30"/>
      <c r="KK66" s="31"/>
      <c r="KL66" s="32"/>
      <c r="KM66" s="33"/>
      <c r="KN66" s="30"/>
      <c r="KO66" s="30"/>
      <c r="KP66" s="30"/>
      <c r="KQ66" s="30"/>
      <c r="KR66" s="30"/>
      <c r="KS66" s="30"/>
      <c r="KT66" s="30"/>
      <c r="KU66" s="30"/>
      <c r="KV66" s="30"/>
      <c r="KW66" s="30"/>
      <c r="KX66" s="30"/>
      <c r="KY66" s="30"/>
      <c r="KZ66" s="30"/>
      <c r="LA66" s="30"/>
      <c r="LB66" s="30"/>
      <c r="LC66" s="30"/>
      <c r="LD66" s="30"/>
      <c r="LE66" s="30"/>
      <c r="LF66" s="30"/>
      <c r="LG66" s="30"/>
      <c r="LH66" s="30"/>
      <c r="LI66" s="30"/>
      <c r="LJ66" s="30"/>
      <c r="LK66" s="30"/>
      <c r="LL66" s="30"/>
      <c r="LM66" s="30"/>
      <c r="LN66" s="30"/>
      <c r="LO66" s="30"/>
      <c r="LP66" s="30"/>
      <c r="LQ66" s="30"/>
      <c r="LR66" s="30"/>
      <c r="LS66" s="30"/>
      <c r="LT66" s="30"/>
      <c r="LU66" s="30"/>
      <c r="LV66" s="30"/>
      <c r="LW66" s="30"/>
      <c r="LX66" s="30"/>
      <c r="LY66" s="30"/>
      <c r="LZ66" s="30"/>
      <c r="MA66" s="30"/>
      <c r="MB66" s="30"/>
      <c r="MC66" s="30"/>
      <c r="MD66" s="30"/>
      <c r="ME66" s="30"/>
      <c r="MF66" s="30"/>
      <c r="MG66" s="30"/>
      <c r="MH66" s="34"/>
    </row>
    <row r="67" spans="1:346" s="28" customFormat="1" ht="21.9" customHeight="1" thickBot="1">
      <c r="A67" s="267"/>
      <c r="B67" s="235">
        <v>3.15</v>
      </c>
      <c r="C67" s="237" t="s">
        <v>210</v>
      </c>
      <c r="D67" s="274" t="s">
        <v>177</v>
      </c>
      <c r="E67" s="61">
        <v>0</v>
      </c>
      <c r="F67" s="73">
        <v>46063</v>
      </c>
      <c r="G67" s="58">
        <v>46071</v>
      </c>
      <c r="H67" s="60" t="s">
        <v>154</v>
      </c>
      <c r="I67" s="21"/>
      <c r="J67" s="96">
        <f t="shared" si="87"/>
        <v>9</v>
      </c>
      <c r="K67" s="29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6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1"/>
      <c r="BV67" s="32"/>
      <c r="BW67" s="33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0"/>
      <c r="GU67" s="30"/>
      <c r="GV67" s="30"/>
      <c r="GW67" s="30"/>
      <c r="GX67" s="30"/>
      <c r="GY67" s="30"/>
      <c r="GZ67" s="30"/>
      <c r="HA67" s="30"/>
      <c r="HB67" s="30"/>
      <c r="HC67" s="30"/>
      <c r="HD67" s="30"/>
      <c r="HE67" s="30"/>
      <c r="HF67" s="30"/>
      <c r="HG67" s="30"/>
      <c r="HH67" s="30"/>
      <c r="HI67" s="30"/>
      <c r="HJ67" s="30"/>
      <c r="HK67" s="30"/>
      <c r="HL67" s="30"/>
      <c r="HM67" s="30"/>
      <c r="HN67" s="30"/>
      <c r="HO67" s="30"/>
      <c r="HP67" s="30"/>
      <c r="HQ67" s="30"/>
      <c r="HR67" s="30"/>
      <c r="HS67" s="30"/>
      <c r="HT67" s="30"/>
      <c r="HU67" s="30"/>
      <c r="HV67" s="30"/>
      <c r="HW67" s="30"/>
      <c r="HX67" s="30"/>
      <c r="HY67" s="30"/>
      <c r="HZ67" s="30"/>
      <c r="IA67" s="30"/>
      <c r="IB67" s="30"/>
      <c r="IC67" s="30"/>
      <c r="ID67" s="30"/>
      <c r="IE67" s="30"/>
      <c r="IF67" s="30"/>
      <c r="IG67" s="30"/>
      <c r="IH67" s="30"/>
      <c r="II67" s="30"/>
      <c r="IJ67" s="30"/>
      <c r="IK67" s="30"/>
      <c r="IL67" s="30"/>
      <c r="IM67" s="30"/>
      <c r="IN67" s="30"/>
      <c r="IO67" s="30"/>
      <c r="IP67" s="30"/>
      <c r="IQ67" s="36"/>
      <c r="IR67" s="30"/>
      <c r="IS67" s="30"/>
      <c r="IT67" s="30"/>
      <c r="IU67" s="30"/>
      <c r="IV67" s="30"/>
      <c r="IW67" s="30"/>
      <c r="IX67" s="30"/>
      <c r="IY67" s="30"/>
      <c r="IZ67" s="30"/>
      <c r="JA67" s="30"/>
      <c r="JB67" s="30"/>
      <c r="JC67" s="30"/>
      <c r="JD67" s="30"/>
      <c r="JE67" s="30"/>
      <c r="JF67" s="30"/>
      <c r="JG67" s="30"/>
      <c r="JH67" s="30"/>
      <c r="JI67" s="30"/>
      <c r="JJ67" s="30"/>
      <c r="JK67" s="30"/>
      <c r="JL67" s="30"/>
      <c r="JM67" s="30"/>
      <c r="JN67" s="30"/>
      <c r="JO67" s="30"/>
      <c r="JP67" s="30"/>
      <c r="JQ67" s="30"/>
      <c r="JR67" s="30"/>
      <c r="JS67" s="30"/>
      <c r="JT67" s="30"/>
      <c r="JU67" s="30"/>
      <c r="JV67" s="30"/>
      <c r="JW67" s="30"/>
      <c r="JX67" s="30"/>
      <c r="JY67" s="30"/>
      <c r="JZ67" s="30"/>
      <c r="KA67" s="30"/>
      <c r="KB67" s="30"/>
      <c r="KC67" s="30"/>
      <c r="KD67" s="30"/>
      <c r="KE67" s="30"/>
      <c r="KF67" s="30"/>
      <c r="KG67" s="30"/>
      <c r="KH67" s="30"/>
      <c r="KI67" s="30"/>
      <c r="KJ67" s="30"/>
      <c r="KK67" s="31"/>
      <c r="KL67" s="32"/>
      <c r="KM67" s="33"/>
      <c r="KN67" s="30"/>
      <c r="KO67" s="30"/>
      <c r="KP67" s="30"/>
      <c r="KQ67" s="30"/>
      <c r="KR67" s="30"/>
      <c r="KS67" s="30"/>
      <c r="KT67" s="30"/>
      <c r="KU67" s="30"/>
      <c r="KV67" s="30"/>
      <c r="KW67" s="30"/>
      <c r="KX67" s="30"/>
      <c r="KY67" s="30"/>
      <c r="KZ67" s="30"/>
      <c r="LA67" s="30"/>
      <c r="LB67" s="30"/>
      <c r="LC67" s="30"/>
      <c r="LD67" s="30"/>
      <c r="LE67" s="30"/>
      <c r="LF67" s="30"/>
      <c r="LG67" s="30"/>
      <c r="LH67" s="30"/>
      <c r="LI67" s="30"/>
      <c r="LJ67" s="30"/>
      <c r="LK67" s="30"/>
      <c r="LL67" s="30"/>
      <c r="LM67" s="30"/>
      <c r="LN67" s="30"/>
      <c r="LO67" s="30"/>
      <c r="LP67" s="30"/>
      <c r="LQ67" s="30"/>
      <c r="LR67" s="30"/>
      <c r="LS67" s="30"/>
      <c r="LT67" s="30"/>
      <c r="LU67" s="30"/>
      <c r="LV67" s="30"/>
      <c r="LW67" s="30"/>
      <c r="LX67" s="30"/>
      <c r="LY67" s="30"/>
      <c r="LZ67" s="30"/>
      <c r="MA67" s="30"/>
      <c r="MB67" s="30"/>
      <c r="MC67" s="30"/>
      <c r="MD67" s="30"/>
      <c r="ME67" s="30"/>
      <c r="MF67" s="30"/>
      <c r="MG67" s="30"/>
      <c r="MH67" s="34"/>
    </row>
    <row r="68" spans="1:346" s="28" customFormat="1" ht="21.9" customHeight="1" thickBot="1">
      <c r="A68" s="268"/>
      <c r="B68" s="278"/>
      <c r="C68" s="279"/>
      <c r="D68" s="277"/>
      <c r="E68" s="64">
        <v>0</v>
      </c>
      <c r="F68" s="75"/>
      <c r="G68" s="76"/>
      <c r="H68" s="69" t="s">
        <v>158</v>
      </c>
      <c r="I68" s="100"/>
      <c r="J68" s="98" t="str">
        <f t="shared" si="87"/>
        <v/>
      </c>
      <c r="K68" s="29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6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1"/>
      <c r="BV68" s="32"/>
      <c r="BW68" s="33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30"/>
      <c r="GX68" s="30"/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30"/>
      <c r="HJ68" s="30"/>
      <c r="HK68" s="30"/>
      <c r="HL68" s="30"/>
      <c r="HM68" s="30"/>
      <c r="HN68" s="30"/>
      <c r="HO68" s="30"/>
      <c r="HP68" s="30"/>
      <c r="HQ68" s="30"/>
      <c r="HR68" s="30"/>
      <c r="HS68" s="30"/>
      <c r="HT68" s="30"/>
      <c r="HU68" s="30"/>
      <c r="HV68" s="30"/>
      <c r="HW68" s="30"/>
      <c r="HX68" s="30"/>
      <c r="HY68" s="30"/>
      <c r="HZ68" s="30"/>
      <c r="IA68" s="30"/>
      <c r="IB68" s="30"/>
      <c r="IC68" s="30"/>
      <c r="ID68" s="30"/>
      <c r="IE68" s="30"/>
      <c r="IF68" s="30"/>
      <c r="IG68" s="30"/>
      <c r="IH68" s="30"/>
      <c r="II68" s="30"/>
      <c r="IJ68" s="30"/>
      <c r="IK68" s="30"/>
      <c r="IL68" s="30"/>
      <c r="IM68" s="30"/>
      <c r="IN68" s="30"/>
      <c r="IO68" s="30"/>
      <c r="IP68" s="30"/>
      <c r="IQ68" s="36"/>
      <c r="IR68" s="30"/>
      <c r="IS68" s="30"/>
      <c r="IT68" s="30"/>
      <c r="IU68" s="30"/>
      <c r="IV68" s="30"/>
      <c r="IW68" s="30"/>
      <c r="IX68" s="30"/>
      <c r="IY68" s="30"/>
      <c r="IZ68" s="30"/>
      <c r="JA68" s="30"/>
      <c r="JB68" s="30"/>
      <c r="JC68" s="30"/>
      <c r="JD68" s="30"/>
      <c r="JE68" s="30"/>
      <c r="JF68" s="30"/>
      <c r="JG68" s="30"/>
      <c r="JH68" s="30"/>
      <c r="JI68" s="30"/>
      <c r="JJ68" s="30"/>
      <c r="JK68" s="30"/>
      <c r="JL68" s="30"/>
      <c r="JM68" s="30"/>
      <c r="JN68" s="30"/>
      <c r="JO68" s="30"/>
      <c r="JP68" s="30"/>
      <c r="JQ68" s="30"/>
      <c r="JR68" s="30"/>
      <c r="JS68" s="30"/>
      <c r="JT68" s="30"/>
      <c r="JU68" s="30"/>
      <c r="JV68" s="30"/>
      <c r="JW68" s="30"/>
      <c r="JX68" s="30"/>
      <c r="JY68" s="30"/>
      <c r="JZ68" s="30"/>
      <c r="KA68" s="30"/>
      <c r="KB68" s="30"/>
      <c r="KC68" s="30"/>
      <c r="KD68" s="30"/>
      <c r="KE68" s="30"/>
      <c r="KF68" s="30"/>
      <c r="KG68" s="30"/>
      <c r="KH68" s="30"/>
      <c r="KI68" s="30"/>
      <c r="KJ68" s="30"/>
      <c r="KK68" s="31"/>
      <c r="KL68" s="32"/>
      <c r="KM68" s="33"/>
      <c r="KN68" s="30"/>
      <c r="KO68" s="30"/>
      <c r="KP68" s="30"/>
      <c r="KQ68" s="30"/>
      <c r="KR68" s="30"/>
      <c r="KS68" s="30"/>
      <c r="KT68" s="30"/>
      <c r="KU68" s="30"/>
      <c r="KV68" s="30"/>
      <c r="KW68" s="30"/>
      <c r="KX68" s="30"/>
      <c r="KY68" s="30"/>
      <c r="KZ68" s="30"/>
      <c r="LA68" s="30"/>
      <c r="LB68" s="30"/>
      <c r="LC68" s="30"/>
      <c r="LD68" s="30"/>
      <c r="LE68" s="30"/>
      <c r="LF68" s="30"/>
      <c r="LG68" s="30"/>
      <c r="LH68" s="30"/>
      <c r="LI68" s="30"/>
      <c r="LJ68" s="30"/>
      <c r="LK68" s="30"/>
      <c r="LL68" s="30"/>
      <c r="LM68" s="30"/>
      <c r="LN68" s="30"/>
      <c r="LO68" s="30"/>
      <c r="LP68" s="30"/>
      <c r="LQ68" s="30"/>
      <c r="LR68" s="30"/>
      <c r="LS68" s="30"/>
      <c r="LT68" s="30"/>
      <c r="LU68" s="30"/>
      <c r="LV68" s="30"/>
      <c r="LW68" s="30"/>
      <c r="LX68" s="30"/>
      <c r="LY68" s="30"/>
      <c r="LZ68" s="30"/>
      <c r="MA68" s="30"/>
      <c r="MB68" s="30"/>
      <c r="MC68" s="30"/>
      <c r="MD68" s="30"/>
      <c r="ME68" s="30"/>
      <c r="MF68" s="30"/>
      <c r="MG68" s="30"/>
      <c r="MH68" s="34"/>
    </row>
    <row r="69" spans="1:346" s="28" customFormat="1" ht="21.9" customHeight="1" thickBot="1">
      <c r="A69" s="258" t="s">
        <v>211</v>
      </c>
      <c r="B69" s="265">
        <v>4.0999999999999996</v>
      </c>
      <c r="C69" s="247" t="s">
        <v>212</v>
      </c>
      <c r="D69" s="276" t="s">
        <v>174</v>
      </c>
      <c r="E69" s="87">
        <v>0</v>
      </c>
      <c r="F69" s="88">
        <f>G67-8</f>
        <v>46063</v>
      </c>
      <c r="G69" s="89">
        <f>G67+1</f>
        <v>46072</v>
      </c>
      <c r="H69" s="72" t="s">
        <v>154</v>
      </c>
      <c r="I69" s="99"/>
      <c r="J69" s="99">
        <f t="shared" si="87"/>
        <v>10</v>
      </c>
      <c r="K69" s="29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6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1"/>
      <c r="BV69" s="32"/>
      <c r="BW69" s="33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/>
      <c r="IN69" s="30"/>
      <c r="IO69" s="30"/>
      <c r="IP69" s="30"/>
      <c r="IQ69" s="36"/>
      <c r="IR69" s="30"/>
      <c r="IS69" s="30"/>
      <c r="IT69" s="30"/>
      <c r="IU69" s="30"/>
      <c r="IV69" s="30"/>
      <c r="IW69" s="30"/>
      <c r="IX69" s="30"/>
      <c r="IY69" s="30"/>
      <c r="IZ69" s="30"/>
      <c r="JA69" s="30"/>
      <c r="JB69" s="30"/>
      <c r="JC69" s="30"/>
      <c r="JD69" s="30"/>
      <c r="JE69" s="30"/>
      <c r="JF69" s="30"/>
      <c r="JG69" s="30"/>
      <c r="JH69" s="30"/>
      <c r="JI69" s="30"/>
      <c r="JJ69" s="30"/>
      <c r="JK69" s="30"/>
      <c r="JL69" s="30"/>
      <c r="JM69" s="30"/>
      <c r="JN69" s="30"/>
      <c r="JO69" s="30"/>
      <c r="JP69" s="30"/>
      <c r="JQ69" s="30"/>
      <c r="JR69" s="30"/>
      <c r="JS69" s="30"/>
      <c r="JT69" s="30"/>
      <c r="JU69" s="30"/>
      <c r="JV69" s="30"/>
      <c r="JW69" s="30"/>
      <c r="JX69" s="30"/>
      <c r="JY69" s="30"/>
      <c r="JZ69" s="30"/>
      <c r="KA69" s="30"/>
      <c r="KB69" s="30"/>
      <c r="KC69" s="30"/>
      <c r="KD69" s="30"/>
      <c r="KE69" s="30"/>
      <c r="KF69" s="30"/>
      <c r="KG69" s="30"/>
      <c r="KH69" s="30"/>
      <c r="KI69" s="30"/>
      <c r="KJ69" s="30"/>
      <c r="KK69" s="31"/>
      <c r="KL69" s="32"/>
      <c r="KM69" s="33"/>
      <c r="KN69" s="30"/>
      <c r="KO69" s="30"/>
      <c r="KP69" s="30"/>
      <c r="KQ69" s="30"/>
      <c r="KR69" s="30"/>
      <c r="KS69" s="30"/>
      <c r="KT69" s="30"/>
      <c r="KU69" s="30"/>
      <c r="KV69" s="30"/>
      <c r="KW69" s="30"/>
      <c r="KX69" s="30"/>
      <c r="KY69" s="30"/>
      <c r="KZ69" s="30"/>
      <c r="LA69" s="30"/>
      <c r="LB69" s="30"/>
      <c r="LC69" s="30"/>
      <c r="LD69" s="30"/>
      <c r="LE69" s="30"/>
      <c r="LF69" s="30"/>
      <c r="LG69" s="30"/>
      <c r="LH69" s="30"/>
      <c r="LI69" s="30"/>
      <c r="LJ69" s="30"/>
      <c r="LK69" s="30"/>
      <c r="LL69" s="30"/>
      <c r="LM69" s="30"/>
      <c r="LN69" s="30"/>
      <c r="LO69" s="30"/>
      <c r="LP69" s="30"/>
      <c r="LQ69" s="30"/>
      <c r="LR69" s="30"/>
      <c r="LS69" s="30"/>
      <c r="LT69" s="30"/>
      <c r="LU69" s="30"/>
      <c r="LV69" s="30"/>
      <c r="LW69" s="30"/>
      <c r="LX69" s="30"/>
      <c r="LY69" s="30"/>
      <c r="LZ69" s="30"/>
      <c r="MA69" s="30"/>
      <c r="MB69" s="30"/>
      <c r="MC69" s="30"/>
      <c r="MD69" s="30"/>
      <c r="ME69" s="30"/>
      <c r="MF69" s="30"/>
      <c r="MG69" s="30"/>
      <c r="MH69" s="34"/>
    </row>
    <row r="70" spans="1:346" s="28" customFormat="1" ht="21.9" customHeight="1" thickBot="1">
      <c r="A70" s="258"/>
      <c r="B70" s="234"/>
      <c r="C70" s="233"/>
      <c r="D70" s="231"/>
      <c r="E70" s="61">
        <v>0</v>
      </c>
      <c r="F70" s="78"/>
      <c r="G70" s="63"/>
      <c r="H70" s="59" t="s">
        <v>158</v>
      </c>
      <c r="I70" s="35"/>
      <c r="J70" s="21" t="str">
        <f t="shared" si="87"/>
        <v/>
      </c>
      <c r="K70" s="29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6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1"/>
      <c r="BV70" s="32"/>
      <c r="BW70" s="33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0"/>
      <c r="GW70" s="30"/>
      <c r="GX70" s="30"/>
      <c r="GY70" s="30"/>
      <c r="GZ70" s="30"/>
      <c r="HA70" s="30"/>
      <c r="HB70" s="30"/>
      <c r="HC70" s="30"/>
      <c r="HD70" s="30"/>
      <c r="HE70" s="30"/>
      <c r="HF70" s="30"/>
      <c r="HG70" s="30"/>
      <c r="HH70" s="30"/>
      <c r="HI70" s="30"/>
      <c r="HJ70" s="30"/>
      <c r="HK70" s="30"/>
      <c r="HL70" s="30"/>
      <c r="HM70" s="30"/>
      <c r="HN70" s="30"/>
      <c r="HO70" s="30"/>
      <c r="HP70" s="30"/>
      <c r="HQ70" s="30"/>
      <c r="HR70" s="30"/>
      <c r="HS70" s="30"/>
      <c r="HT70" s="30"/>
      <c r="HU70" s="30"/>
      <c r="HV70" s="30"/>
      <c r="HW70" s="30"/>
      <c r="HX70" s="30"/>
      <c r="HY70" s="30"/>
      <c r="HZ70" s="30"/>
      <c r="IA70" s="30"/>
      <c r="IB70" s="30"/>
      <c r="IC70" s="30"/>
      <c r="ID70" s="30"/>
      <c r="IE70" s="30"/>
      <c r="IF70" s="30"/>
      <c r="IG70" s="30"/>
      <c r="IH70" s="30"/>
      <c r="II70" s="30"/>
      <c r="IJ70" s="30"/>
      <c r="IK70" s="30"/>
      <c r="IL70" s="30"/>
      <c r="IM70" s="30"/>
      <c r="IN70" s="30"/>
      <c r="IO70" s="30"/>
      <c r="IP70" s="30"/>
      <c r="IQ70" s="36"/>
      <c r="IR70" s="30"/>
      <c r="IS70" s="30"/>
      <c r="IT70" s="30"/>
      <c r="IU70" s="30"/>
      <c r="IV70" s="30"/>
      <c r="IW70" s="30"/>
      <c r="IX70" s="30"/>
      <c r="IY70" s="30"/>
      <c r="IZ70" s="30"/>
      <c r="JA70" s="30"/>
      <c r="JB70" s="30"/>
      <c r="JC70" s="30"/>
      <c r="JD70" s="30"/>
      <c r="JE70" s="30"/>
      <c r="JF70" s="30"/>
      <c r="JG70" s="30"/>
      <c r="JH70" s="30"/>
      <c r="JI70" s="30"/>
      <c r="JJ70" s="30"/>
      <c r="JK70" s="30"/>
      <c r="JL70" s="30"/>
      <c r="JM70" s="30"/>
      <c r="JN70" s="30"/>
      <c r="JO70" s="30"/>
      <c r="JP70" s="30"/>
      <c r="JQ70" s="30"/>
      <c r="JR70" s="30"/>
      <c r="JS70" s="30"/>
      <c r="JT70" s="30"/>
      <c r="JU70" s="30"/>
      <c r="JV70" s="30"/>
      <c r="JW70" s="30"/>
      <c r="JX70" s="30"/>
      <c r="JY70" s="30"/>
      <c r="JZ70" s="30"/>
      <c r="KA70" s="30"/>
      <c r="KB70" s="30"/>
      <c r="KC70" s="30"/>
      <c r="KD70" s="30"/>
      <c r="KE70" s="30"/>
      <c r="KF70" s="30"/>
      <c r="KG70" s="30"/>
      <c r="KH70" s="30"/>
      <c r="KI70" s="30"/>
      <c r="KJ70" s="30"/>
      <c r="KK70" s="31"/>
      <c r="KL70" s="32"/>
      <c r="KM70" s="33"/>
      <c r="KN70" s="30"/>
      <c r="KO70" s="30"/>
      <c r="KP70" s="30"/>
      <c r="KQ70" s="30"/>
      <c r="KR70" s="30"/>
      <c r="KS70" s="30"/>
      <c r="KT70" s="30"/>
      <c r="KU70" s="30"/>
      <c r="KV70" s="30"/>
      <c r="KW70" s="30"/>
      <c r="KX70" s="30"/>
      <c r="KY70" s="30"/>
      <c r="KZ70" s="30"/>
      <c r="LA70" s="30"/>
      <c r="LB70" s="30"/>
      <c r="LC70" s="30"/>
      <c r="LD70" s="30"/>
      <c r="LE70" s="30"/>
      <c r="LF70" s="30"/>
      <c r="LG70" s="30"/>
      <c r="LH70" s="30"/>
      <c r="LI70" s="30"/>
      <c r="LJ70" s="30"/>
      <c r="LK70" s="30"/>
      <c r="LL70" s="30"/>
      <c r="LM70" s="30"/>
      <c r="LN70" s="30"/>
      <c r="LO70" s="30"/>
      <c r="LP70" s="30"/>
      <c r="LQ70" s="30"/>
      <c r="LR70" s="30"/>
      <c r="LS70" s="30"/>
      <c r="LT70" s="30"/>
      <c r="LU70" s="30"/>
      <c r="LV70" s="30"/>
      <c r="LW70" s="30"/>
      <c r="LX70" s="30"/>
      <c r="LY70" s="30"/>
      <c r="LZ70" s="30"/>
      <c r="MA70" s="30"/>
      <c r="MB70" s="30"/>
      <c r="MC70" s="30"/>
      <c r="MD70" s="30"/>
      <c r="ME70" s="30"/>
      <c r="MF70" s="30"/>
      <c r="MG70" s="30"/>
      <c r="MH70" s="34"/>
    </row>
    <row r="71" spans="1:346" s="28" customFormat="1" ht="21.9" customHeight="1" thickBot="1">
      <c r="A71" s="258"/>
      <c r="B71" s="235">
        <v>4.2</v>
      </c>
      <c r="C71" s="237" t="s">
        <v>213</v>
      </c>
      <c r="D71" s="274" t="s">
        <v>174</v>
      </c>
      <c r="E71" s="61">
        <v>0</v>
      </c>
      <c r="F71" s="73">
        <f>G69-2</f>
        <v>46070</v>
      </c>
      <c r="G71" s="58">
        <f>G69</f>
        <v>46072</v>
      </c>
      <c r="H71" s="60" t="s">
        <v>154</v>
      </c>
      <c r="I71" s="21"/>
      <c r="J71" s="21">
        <f t="shared" si="87"/>
        <v>3</v>
      </c>
      <c r="K71" s="29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6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1"/>
      <c r="BV71" s="32"/>
      <c r="BW71" s="33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0"/>
      <c r="GU71" s="30"/>
      <c r="GV71" s="30"/>
      <c r="GW71" s="30"/>
      <c r="GX71" s="30"/>
      <c r="GY71" s="30"/>
      <c r="GZ71" s="30"/>
      <c r="HA71" s="30"/>
      <c r="HB71" s="30"/>
      <c r="HC71" s="30"/>
      <c r="HD71" s="30"/>
      <c r="HE71" s="30"/>
      <c r="HF71" s="30"/>
      <c r="HG71" s="30"/>
      <c r="HH71" s="30"/>
      <c r="HI71" s="30"/>
      <c r="HJ71" s="30"/>
      <c r="HK71" s="30"/>
      <c r="HL71" s="30"/>
      <c r="HM71" s="30"/>
      <c r="HN71" s="30"/>
      <c r="HO71" s="30"/>
      <c r="HP71" s="30"/>
      <c r="HQ71" s="30"/>
      <c r="HR71" s="30"/>
      <c r="HS71" s="30"/>
      <c r="HT71" s="30"/>
      <c r="HU71" s="30"/>
      <c r="HV71" s="30"/>
      <c r="HW71" s="30"/>
      <c r="HX71" s="30"/>
      <c r="HY71" s="30"/>
      <c r="HZ71" s="30"/>
      <c r="IA71" s="30"/>
      <c r="IB71" s="30"/>
      <c r="IC71" s="30"/>
      <c r="ID71" s="30"/>
      <c r="IE71" s="30"/>
      <c r="IF71" s="30"/>
      <c r="IG71" s="30"/>
      <c r="IH71" s="30"/>
      <c r="II71" s="30"/>
      <c r="IJ71" s="30"/>
      <c r="IK71" s="30"/>
      <c r="IL71" s="30"/>
      <c r="IM71" s="30"/>
      <c r="IN71" s="30"/>
      <c r="IO71" s="30"/>
      <c r="IP71" s="30"/>
      <c r="IQ71" s="36"/>
      <c r="IR71" s="30"/>
      <c r="IS71" s="30"/>
      <c r="IT71" s="30"/>
      <c r="IU71" s="30"/>
      <c r="IV71" s="30"/>
      <c r="IW71" s="30"/>
      <c r="IX71" s="30"/>
      <c r="IY71" s="30"/>
      <c r="IZ71" s="30"/>
      <c r="JA71" s="30"/>
      <c r="JB71" s="30"/>
      <c r="JC71" s="30"/>
      <c r="JD71" s="30"/>
      <c r="JE71" s="30"/>
      <c r="JF71" s="30"/>
      <c r="JG71" s="30"/>
      <c r="JH71" s="30"/>
      <c r="JI71" s="30"/>
      <c r="JJ71" s="30"/>
      <c r="JK71" s="30"/>
      <c r="JL71" s="30"/>
      <c r="JM71" s="30"/>
      <c r="JN71" s="30"/>
      <c r="JO71" s="30"/>
      <c r="JP71" s="30"/>
      <c r="JQ71" s="30"/>
      <c r="JR71" s="30"/>
      <c r="JS71" s="30"/>
      <c r="JT71" s="30"/>
      <c r="JU71" s="30"/>
      <c r="JV71" s="30"/>
      <c r="JW71" s="30"/>
      <c r="JX71" s="30"/>
      <c r="JY71" s="30"/>
      <c r="JZ71" s="30"/>
      <c r="KA71" s="30"/>
      <c r="KB71" s="30"/>
      <c r="KC71" s="30"/>
      <c r="KD71" s="30"/>
      <c r="KE71" s="30"/>
      <c r="KF71" s="30"/>
      <c r="KG71" s="30"/>
      <c r="KH71" s="30"/>
      <c r="KI71" s="30"/>
      <c r="KJ71" s="30"/>
      <c r="KK71" s="31"/>
      <c r="KL71" s="32"/>
      <c r="KM71" s="33"/>
      <c r="KN71" s="30"/>
      <c r="KO71" s="30"/>
      <c r="KP71" s="30"/>
      <c r="KQ71" s="30"/>
      <c r="KR71" s="30"/>
      <c r="KS71" s="30"/>
      <c r="KT71" s="30"/>
      <c r="KU71" s="30"/>
      <c r="KV71" s="30"/>
      <c r="KW71" s="30"/>
      <c r="KX71" s="30"/>
      <c r="KY71" s="30"/>
      <c r="KZ71" s="30"/>
      <c r="LA71" s="30"/>
      <c r="LB71" s="30"/>
      <c r="LC71" s="30"/>
      <c r="LD71" s="30"/>
      <c r="LE71" s="30"/>
      <c r="LF71" s="30"/>
      <c r="LG71" s="30"/>
      <c r="LH71" s="30"/>
      <c r="LI71" s="30"/>
      <c r="LJ71" s="30"/>
      <c r="LK71" s="30"/>
      <c r="LL71" s="30"/>
      <c r="LM71" s="30"/>
      <c r="LN71" s="30"/>
      <c r="LO71" s="30"/>
      <c r="LP71" s="30"/>
      <c r="LQ71" s="30"/>
      <c r="LR71" s="30"/>
      <c r="LS71" s="30"/>
      <c r="LT71" s="30"/>
      <c r="LU71" s="30"/>
      <c r="LV71" s="30"/>
      <c r="LW71" s="30"/>
      <c r="LX71" s="30"/>
      <c r="LY71" s="30"/>
      <c r="LZ71" s="30"/>
      <c r="MA71" s="30"/>
      <c r="MB71" s="30"/>
      <c r="MC71" s="30"/>
      <c r="MD71" s="30"/>
      <c r="ME71" s="30"/>
      <c r="MF71" s="30"/>
      <c r="MG71" s="30"/>
      <c r="MH71" s="34"/>
    </row>
    <row r="72" spans="1:346" s="28" customFormat="1" ht="21.9" customHeight="1" thickBot="1">
      <c r="A72" s="258"/>
      <c r="B72" s="236"/>
      <c r="C72" s="238"/>
      <c r="D72" s="240"/>
      <c r="E72" s="61">
        <v>0</v>
      </c>
      <c r="F72" s="73"/>
      <c r="G72" s="58"/>
      <c r="H72" s="59" t="s">
        <v>158</v>
      </c>
      <c r="I72" s="21"/>
      <c r="J72" s="21" t="str">
        <f t="shared" si="87"/>
        <v/>
      </c>
      <c r="K72" s="29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6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1"/>
      <c r="BV72" s="32"/>
      <c r="BW72" s="33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/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30"/>
      <c r="HJ72" s="30"/>
      <c r="HK72" s="30"/>
      <c r="HL72" s="30"/>
      <c r="HM72" s="30"/>
      <c r="HN72" s="30"/>
      <c r="HO72" s="30"/>
      <c r="HP72" s="30"/>
      <c r="HQ72" s="30"/>
      <c r="HR72" s="30"/>
      <c r="HS72" s="30"/>
      <c r="HT72" s="30"/>
      <c r="HU72" s="30"/>
      <c r="HV72" s="30"/>
      <c r="HW72" s="30"/>
      <c r="HX72" s="30"/>
      <c r="HY72" s="30"/>
      <c r="HZ72" s="30"/>
      <c r="IA72" s="30"/>
      <c r="IB72" s="30"/>
      <c r="IC72" s="30"/>
      <c r="ID72" s="30"/>
      <c r="IE72" s="30"/>
      <c r="IF72" s="30"/>
      <c r="IG72" s="30"/>
      <c r="IH72" s="30"/>
      <c r="II72" s="30"/>
      <c r="IJ72" s="30"/>
      <c r="IK72" s="30"/>
      <c r="IL72" s="30"/>
      <c r="IM72" s="30"/>
      <c r="IN72" s="30"/>
      <c r="IO72" s="30"/>
      <c r="IP72" s="30"/>
      <c r="IQ72" s="36"/>
      <c r="IR72" s="30"/>
      <c r="IS72" s="30"/>
      <c r="IT72" s="30"/>
      <c r="IU72" s="30"/>
      <c r="IV72" s="30"/>
      <c r="IW72" s="30"/>
      <c r="IX72" s="30"/>
      <c r="IY72" s="30"/>
      <c r="IZ72" s="30"/>
      <c r="JA72" s="30"/>
      <c r="JB72" s="30"/>
      <c r="JC72" s="30"/>
      <c r="JD72" s="30"/>
      <c r="JE72" s="30"/>
      <c r="JF72" s="30"/>
      <c r="JG72" s="30"/>
      <c r="JH72" s="30"/>
      <c r="JI72" s="30"/>
      <c r="JJ72" s="30"/>
      <c r="JK72" s="30"/>
      <c r="JL72" s="30"/>
      <c r="JM72" s="30"/>
      <c r="JN72" s="30"/>
      <c r="JO72" s="30"/>
      <c r="JP72" s="30"/>
      <c r="JQ72" s="30"/>
      <c r="JR72" s="30"/>
      <c r="JS72" s="30"/>
      <c r="JT72" s="30"/>
      <c r="JU72" s="30"/>
      <c r="JV72" s="30"/>
      <c r="JW72" s="30"/>
      <c r="JX72" s="30"/>
      <c r="JY72" s="30"/>
      <c r="JZ72" s="30"/>
      <c r="KA72" s="30"/>
      <c r="KB72" s="30"/>
      <c r="KC72" s="30"/>
      <c r="KD72" s="30"/>
      <c r="KE72" s="30"/>
      <c r="KF72" s="30"/>
      <c r="KG72" s="30"/>
      <c r="KH72" s="30"/>
      <c r="KI72" s="30"/>
      <c r="KJ72" s="30"/>
      <c r="KK72" s="31"/>
      <c r="KL72" s="32"/>
      <c r="KM72" s="33"/>
      <c r="KN72" s="30"/>
      <c r="KO72" s="30"/>
      <c r="KP72" s="30"/>
      <c r="KQ72" s="30"/>
      <c r="KR72" s="30"/>
      <c r="KS72" s="30"/>
      <c r="KT72" s="30"/>
      <c r="KU72" s="30"/>
      <c r="KV72" s="30"/>
      <c r="KW72" s="30"/>
      <c r="KX72" s="30"/>
      <c r="KY72" s="30"/>
      <c r="KZ72" s="30"/>
      <c r="LA72" s="30"/>
      <c r="LB72" s="30"/>
      <c r="LC72" s="30"/>
      <c r="LD72" s="30"/>
      <c r="LE72" s="30"/>
      <c r="LF72" s="30"/>
      <c r="LG72" s="30"/>
      <c r="LH72" s="30"/>
      <c r="LI72" s="30"/>
      <c r="LJ72" s="30"/>
      <c r="LK72" s="30"/>
      <c r="LL72" s="30"/>
      <c r="LM72" s="30"/>
      <c r="LN72" s="30"/>
      <c r="LO72" s="30"/>
      <c r="LP72" s="30"/>
      <c r="LQ72" s="30"/>
      <c r="LR72" s="30"/>
      <c r="LS72" s="30"/>
      <c r="LT72" s="30"/>
      <c r="LU72" s="30"/>
      <c r="LV72" s="30"/>
      <c r="LW72" s="30"/>
      <c r="LX72" s="30"/>
      <c r="LY72" s="30"/>
      <c r="LZ72" s="30"/>
      <c r="MA72" s="30"/>
      <c r="MB72" s="30"/>
      <c r="MC72" s="30"/>
      <c r="MD72" s="30"/>
      <c r="ME72" s="30"/>
      <c r="MF72" s="30"/>
      <c r="MG72" s="30"/>
      <c r="MH72" s="34"/>
    </row>
    <row r="73" spans="1:346" s="28" customFormat="1" ht="21.9" customHeight="1" thickBot="1">
      <c r="A73" s="258"/>
      <c r="B73" s="235">
        <v>4.3</v>
      </c>
      <c r="C73" s="237" t="s">
        <v>214</v>
      </c>
      <c r="D73" s="239" t="s">
        <v>177</v>
      </c>
      <c r="E73" s="61">
        <v>0</v>
      </c>
      <c r="F73" s="73">
        <v>46072</v>
      </c>
      <c r="G73" s="58">
        <f>G71+3</f>
        <v>46075</v>
      </c>
      <c r="H73" s="60" t="s">
        <v>154</v>
      </c>
      <c r="I73" s="21"/>
      <c r="J73" s="21">
        <f t="shared" si="87"/>
        <v>4</v>
      </c>
      <c r="K73" s="29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6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1"/>
      <c r="BV73" s="32"/>
      <c r="BW73" s="33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  <c r="FS73" s="30"/>
      <c r="FT73" s="30"/>
      <c r="FU73" s="30"/>
      <c r="FV73" s="30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30"/>
      <c r="GH73" s="30"/>
      <c r="GI73" s="30"/>
      <c r="GJ73" s="30"/>
      <c r="GK73" s="30"/>
      <c r="GL73" s="30"/>
      <c r="GM73" s="30"/>
      <c r="GN73" s="30"/>
      <c r="GO73" s="30"/>
      <c r="GP73" s="30"/>
      <c r="GQ73" s="30"/>
      <c r="GR73" s="30"/>
      <c r="GS73" s="30"/>
      <c r="GT73" s="30"/>
      <c r="GU73" s="30"/>
      <c r="GV73" s="30"/>
      <c r="GW73" s="30"/>
      <c r="GX73" s="30"/>
      <c r="GY73" s="30"/>
      <c r="GZ73" s="30"/>
      <c r="HA73" s="30"/>
      <c r="HB73" s="30"/>
      <c r="HC73" s="30"/>
      <c r="HD73" s="30"/>
      <c r="HE73" s="30"/>
      <c r="HF73" s="30"/>
      <c r="HG73" s="30"/>
      <c r="HH73" s="30"/>
      <c r="HI73" s="30"/>
      <c r="HJ73" s="30"/>
      <c r="HK73" s="30"/>
      <c r="HL73" s="30"/>
      <c r="HM73" s="30"/>
      <c r="HN73" s="30"/>
      <c r="HO73" s="30"/>
      <c r="HP73" s="30"/>
      <c r="HQ73" s="30"/>
      <c r="HR73" s="30"/>
      <c r="HS73" s="30"/>
      <c r="HT73" s="30"/>
      <c r="HU73" s="30"/>
      <c r="HV73" s="30"/>
      <c r="HW73" s="30"/>
      <c r="HX73" s="30"/>
      <c r="HY73" s="30"/>
      <c r="HZ73" s="30"/>
      <c r="IA73" s="30"/>
      <c r="IB73" s="30"/>
      <c r="IC73" s="30"/>
      <c r="ID73" s="30"/>
      <c r="IE73" s="30"/>
      <c r="IF73" s="30"/>
      <c r="IG73" s="30"/>
      <c r="IH73" s="30"/>
      <c r="II73" s="30"/>
      <c r="IJ73" s="30"/>
      <c r="IK73" s="30"/>
      <c r="IL73" s="30"/>
      <c r="IM73" s="30"/>
      <c r="IN73" s="30"/>
      <c r="IO73" s="30"/>
      <c r="IP73" s="30"/>
      <c r="IQ73" s="36"/>
      <c r="IR73" s="30"/>
      <c r="IS73" s="30"/>
      <c r="IT73" s="30"/>
      <c r="IU73" s="30"/>
      <c r="IV73" s="30"/>
      <c r="IW73" s="30"/>
      <c r="IX73" s="30"/>
      <c r="IY73" s="30"/>
      <c r="IZ73" s="30"/>
      <c r="JA73" s="30"/>
      <c r="JB73" s="30"/>
      <c r="JC73" s="30"/>
      <c r="JD73" s="30"/>
      <c r="JE73" s="30"/>
      <c r="JF73" s="30"/>
      <c r="JG73" s="30"/>
      <c r="JH73" s="30"/>
      <c r="JI73" s="30"/>
      <c r="JJ73" s="30"/>
      <c r="JK73" s="30"/>
      <c r="JL73" s="30"/>
      <c r="JM73" s="30"/>
      <c r="JN73" s="30"/>
      <c r="JO73" s="30"/>
      <c r="JP73" s="30"/>
      <c r="JQ73" s="30"/>
      <c r="JR73" s="30"/>
      <c r="JS73" s="30"/>
      <c r="JT73" s="30"/>
      <c r="JU73" s="30"/>
      <c r="JV73" s="30"/>
      <c r="JW73" s="30"/>
      <c r="JX73" s="30"/>
      <c r="JY73" s="30"/>
      <c r="JZ73" s="30"/>
      <c r="KA73" s="30"/>
      <c r="KB73" s="30"/>
      <c r="KC73" s="30"/>
      <c r="KD73" s="30"/>
      <c r="KE73" s="30"/>
      <c r="KF73" s="30"/>
      <c r="KG73" s="30"/>
      <c r="KH73" s="30"/>
      <c r="KI73" s="30"/>
      <c r="KJ73" s="30"/>
      <c r="KK73" s="31"/>
      <c r="KL73" s="32"/>
      <c r="KM73" s="33"/>
      <c r="KN73" s="30"/>
      <c r="KO73" s="30"/>
      <c r="KP73" s="30"/>
      <c r="KQ73" s="30"/>
      <c r="KR73" s="30"/>
      <c r="KS73" s="30"/>
      <c r="KT73" s="30"/>
      <c r="KU73" s="30"/>
      <c r="KV73" s="30"/>
      <c r="KW73" s="30"/>
      <c r="KX73" s="30"/>
      <c r="KY73" s="30"/>
      <c r="KZ73" s="30"/>
      <c r="LA73" s="30"/>
      <c r="LB73" s="30"/>
      <c r="LC73" s="30"/>
      <c r="LD73" s="30"/>
      <c r="LE73" s="30"/>
      <c r="LF73" s="30"/>
      <c r="LG73" s="30"/>
      <c r="LH73" s="30"/>
      <c r="LI73" s="30"/>
      <c r="LJ73" s="30"/>
      <c r="LK73" s="30"/>
      <c r="LL73" s="30"/>
      <c r="LM73" s="30"/>
      <c r="LN73" s="30"/>
      <c r="LO73" s="30"/>
      <c r="LP73" s="30"/>
      <c r="LQ73" s="30"/>
      <c r="LR73" s="30"/>
      <c r="LS73" s="30"/>
      <c r="LT73" s="30"/>
      <c r="LU73" s="30"/>
      <c r="LV73" s="30"/>
      <c r="LW73" s="30"/>
      <c r="LX73" s="30"/>
      <c r="LY73" s="30"/>
      <c r="LZ73" s="30"/>
      <c r="MA73" s="30"/>
      <c r="MB73" s="30"/>
      <c r="MC73" s="30"/>
      <c r="MD73" s="30"/>
      <c r="ME73" s="30"/>
      <c r="MF73" s="30"/>
      <c r="MG73" s="30"/>
      <c r="MH73" s="34"/>
    </row>
    <row r="74" spans="1:346" s="28" customFormat="1" ht="21.9" customHeight="1" thickBot="1">
      <c r="A74" s="258"/>
      <c r="B74" s="236"/>
      <c r="C74" s="238"/>
      <c r="D74" s="240"/>
      <c r="E74" s="61">
        <v>0</v>
      </c>
      <c r="F74" s="73"/>
      <c r="G74" s="58"/>
      <c r="H74" s="66" t="s">
        <v>158</v>
      </c>
      <c r="I74" s="21"/>
      <c r="J74" s="21" t="str">
        <f t="shared" si="87"/>
        <v/>
      </c>
      <c r="K74" s="29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6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1"/>
      <c r="BV74" s="32"/>
      <c r="BW74" s="33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  <c r="FS74" s="30"/>
      <c r="FT74" s="30"/>
      <c r="FU74" s="30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  <c r="GK74" s="30"/>
      <c r="GL74" s="30"/>
      <c r="GM74" s="30"/>
      <c r="GN74" s="30"/>
      <c r="GO74" s="30"/>
      <c r="GP74" s="30"/>
      <c r="GQ74" s="30"/>
      <c r="GR74" s="30"/>
      <c r="GS74" s="30"/>
      <c r="GT74" s="30"/>
      <c r="GU74" s="30"/>
      <c r="GV74" s="30"/>
      <c r="GW74" s="30"/>
      <c r="GX74" s="30"/>
      <c r="GY74" s="30"/>
      <c r="GZ74" s="30"/>
      <c r="HA74" s="30"/>
      <c r="HB74" s="30"/>
      <c r="HC74" s="30"/>
      <c r="HD74" s="30"/>
      <c r="HE74" s="30"/>
      <c r="HF74" s="30"/>
      <c r="HG74" s="30"/>
      <c r="HH74" s="30"/>
      <c r="HI74" s="30"/>
      <c r="HJ74" s="30"/>
      <c r="HK74" s="30"/>
      <c r="HL74" s="30"/>
      <c r="HM74" s="30"/>
      <c r="HN74" s="30"/>
      <c r="HO74" s="30"/>
      <c r="HP74" s="30"/>
      <c r="HQ74" s="30"/>
      <c r="HR74" s="30"/>
      <c r="HS74" s="30"/>
      <c r="HT74" s="30"/>
      <c r="HU74" s="30"/>
      <c r="HV74" s="30"/>
      <c r="HW74" s="30"/>
      <c r="HX74" s="30"/>
      <c r="HY74" s="30"/>
      <c r="HZ74" s="30"/>
      <c r="IA74" s="30"/>
      <c r="IB74" s="30"/>
      <c r="IC74" s="30"/>
      <c r="ID74" s="30"/>
      <c r="IE74" s="30"/>
      <c r="IF74" s="30"/>
      <c r="IG74" s="30"/>
      <c r="IH74" s="30"/>
      <c r="II74" s="30"/>
      <c r="IJ74" s="30"/>
      <c r="IK74" s="30"/>
      <c r="IL74" s="30"/>
      <c r="IM74" s="30"/>
      <c r="IN74" s="30"/>
      <c r="IO74" s="30"/>
      <c r="IP74" s="30"/>
      <c r="IQ74" s="36"/>
      <c r="IR74" s="30"/>
      <c r="IS74" s="30"/>
      <c r="IT74" s="30"/>
      <c r="IU74" s="30"/>
      <c r="IV74" s="30"/>
      <c r="IW74" s="30"/>
      <c r="IX74" s="30"/>
      <c r="IY74" s="30"/>
      <c r="IZ74" s="30"/>
      <c r="JA74" s="30"/>
      <c r="JB74" s="30"/>
      <c r="JC74" s="30"/>
      <c r="JD74" s="30"/>
      <c r="JE74" s="30"/>
      <c r="JF74" s="30"/>
      <c r="JG74" s="30"/>
      <c r="JH74" s="30"/>
      <c r="JI74" s="30"/>
      <c r="JJ74" s="30"/>
      <c r="JK74" s="30"/>
      <c r="JL74" s="30"/>
      <c r="JM74" s="30"/>
      <c r="JN74" s="30"/>
      <c r="JO74" s="30"/>
      <c r="JP74" s="30"/>
      <c r="JQ74" s="30"/>
      <c r="JR74" s="30"/>
      <c r="JS74" s="30"/>
      <c r="JT74" s="30"/>
      <c r="JU74" s="30"/>
      <c r="JV74" s="30"/>
      <c r="JW74" s="30"/>
      <c r="JX74" s="30"/>
      <c r="JY74" s="30"/>
      <c r="JZ74" s="30"/>
      <c r="KA74" s="30"/>
      <c r="KB74" s="30"/>
      <c r="KC74" s="30"/>
      <c r="KD74" s="30"/>
      <c r="KE74" s="30"/>
      <c r="KF74" s="30"/>
      <c r="KG74" s="30"/>
      <c r="KH74" s="30"/>
      <c r="KI74" s="30"/>
      <c r="KJ74" s="30"/>
      <c r="KK74" s="31"/>
      <c r="KL74" s="32"/>
      <c r="KM74" s="33"/>
      <c r="KN74" s="30"/>
      <c r="KO74" s="30"/>
      <c r="KP74" s="30"/>
      <c r="KQ74" s="30"/>
      <c r="KR74" s="30"/>
      <c r="KS74" s="30"/>
      <c r="KT74" s="30"/>
      <c r="KU74" s="30"/>
      <c r="KV74" s="30"/>
      <c r="KW74" s="30"/>
      <c r="KX74" s="30"/>
      <c r="KY74" s="30"/>
      <c r="KZ74" s="30"/>
      <c r="LA74" s="30"/>
      <c r="LB74" s="30"/>
      <c r="LC74" s="30"/>
      <c r="LD74" s="30"/>
      <c r="LE74" s="30"/>
      <c r="LF74" s="30"/>
      <c r="LG74" s="30"/>
      <c r="LH74" s="30"/>
      <c r="LI74" s="30"/>
      <c r="LJ74" s="30"/>
      <c r="LK74" s="30"/>
      <c r="LL74" s="30"/>
      <c r="LM74" s="30"/>
      <c r="LN74" s="30"/>
      <c r="LO74" s="30"/>
      <c r="LP74" s="30"/>
      <c r="LQ74" s="30"/>
      <c r="LR74" s="30"/>
      <c r="LS74" s="30"/>
      <c r="LT74" s="30"/>
      <c r="LU74" s="30"/>
      <c r="LV74" s="30"/>
      <c r="LW74" s="30"/>
      <c r="LX74" s="30"/>
      <c r="LY74" s="30"/>
      <c r="LZ74" s="30"/>
      <c r="MA74" s="30"/>
      <c r="MB74" s="30"/>
      <c r="MC74" s="30"/>
      <c r="MD74" s="30"/>
      <c r="ME74" s="30"/>
      <c r="MF74" s="30"/>
      <c r="MG74" s="30"/>
      <c r="MH74" s="34"/>
    </row>
    <row r="75" spans="1:346" s="28" customFormat="1" ht="21.9" customHeight="1" thickBot="1">
      <c r="A75" s="258"/>
      <c r="B75" s="245">
        <v>4.4000000000000004</v>
      </c>
      <c r="C75" s="232" t="s">
        <v>215</v>
      </c>
      <c r="D75" s="230" t="s">
        <v>174</v>
      </c>
      <c r="E75" s="61">
        <v>0</v>
      </c>
      <c r="F75" s="78">
        <f>G73-3</f>
        <v>46072</v>
      </c>
      <c r="G75" s="63">
        <f>F75+7</f>
        <v>46079</v>
      </c>
      <c r="H75" s="56" t="s">
        <v>154</v>
      </c>
      <c r="I75" s="21"/>
      <c r="J75" s="21">
        <f t="shared" si="87"/>
        <v>8</v>
      </c>
      <c r="K75" s="29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6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1"/>
      <c r="BV75" s="32"/>
      <c r="BW75" s="33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0"/>
      <c r="GS75" s="30"/>
      <c r="GT75" s="30"/>
      <c r="GU75" s="30"/>
      <c r="GV75" s="30"/>
      <c r="GW75" s="30"/>
      <c r="GX75" s="30"/>
      <c r="GY75" s="30"/>
      <c r="GZ75" s="30"/>
      <c r="HA75" s="30"/>
      <c r="HB75" s="30"/>
      <c r="HC75" s="30"/>
      <c r="HD75" s="30"/>
      <c r="HE75" s="30"/>
      <c r="HF75" s="30"/>
      <c r="HG75" s="30"/>
      <c r="HH75" s="30"/>
      <c r="HI75" s="30"/>
      <c r="HJ75" s="30"/>
      <c r="HK75" s="30"/>
      <c r="HL75" s="30"/>
      <c r="HM75" s="30"/>
      <c r="HN75" s="30"/>
      <c r="HO75" s="30"/>
      <c r="HP75" s="30"/>
      <c r="HQ75" s="30"/>
      <c r="HR75" s="30"/>
      <c r="HS75" s="30"/>
      <c r="HT75" s="30"/>
      <c r="HU75" s="30"/>
      <c r="HV75" s="30"/>
      <c r="HW75" s="30"/>
      <c r="HX75" s="30"/>
      <c r="HY75" s="30"/>
      <c r="HZ75" s="30"/>
      <c r="IA75" s="30"/>
      <c r="IB75" s="30"/>
      <c r="IC75" s="30"/>
      <c r="ID75" s="30"/>
      <c r="IE75" s="30"/>
      <c r="IF75" s="30"/>
      <c r="IG75" s="30"/>
      <c r="IH75" s="30"/>
      <c r="II75" s="30"/>
      <c r="IJ75" s="30"/>
      <c r="IK75" s="30"/>
      <c r="IL75" s="30"/>
      <c r="IM75" s="30"/>
      <c r="IN75" s="30"/>
      <c r="IO75" s="30"/>
      <c r="IP75" s="30"/>
      <c r="IQ75" s="36"/>
      <c r="IR75" s="30"/>
      <c r="IS75" s="30"/>
      <c r="IT75" s="30"/>
      <c r="IU75" s="30"/>
      <c r="IV75" s="30"/>
      <c r="IW75" s="30"/>
      <c r="IX75" s="30"/>
      <c r="IY75" s="30"/>
      <c r="IZ75" s="30"/>
      <c r="JA75" s="30"/>
      <c r="JB75" s="30"/>
      <c r="JC75" s="30"/>
      <c r="JD75" s="30"/>
      <c r="JE75" s="30"/>
      <c r="JF75" s="30"/>
      <c r="JG75" s="30"/>
      <c r="JH75" s="30"/>
      <c r="JI75" s="30"/>
      <c r="JJ75" s="30"/>
      <c r="JK75" s="30"/>
      <c r="JL75" s="30"/>
      <c r="JM75" s="30"/>
      <c r="JN75" s="30"/>
      <c r="JO75" s="30"/>
      <c r="JP75" s="30"/>
      <c r="JQ75" s="30"/>
      <c r="JR75" s="30"/>
      <c r="JS75" s="30"/>
      <c r="JT75" s="30"/>
      <c r="JU75" s="30"/>
      <c r="JV75" s="30"/>
      <c r="JW75" s="30"/>
      <c r="JX75" s="30"/>
      <c r="JY75" s="30"/>
      <c r="JZ75" s="30"/>
      <c r="KA75" s="30"/>
      <c r="KB75" s="30"/>
      <c r="KC75" s="30"/>
      <c r="KD75" s="30"/>
      <c r="KE75" s="30"/>
      <c r="KF75" s="30"/>
      <c r="KG75" s="30"/>
      <c r="KH75" s="30"/>
      <c r="KI75" s="30"/>
      <c r="KJ75" s="30"/>
      <c r="KK75" s="31"/>
      <c r="KL75" s="32"/>
      <c r="KM75" s="33"/>
      <c r="KN75" s="30"/>
      <c r="KO75" s="30"/>
      <c r="KP75" s="30"/>
      <c r="KQ75" s="30"/>
      <c r="KR75" s="30"/>
      <c r="KS75" s="30"/>
      <c r="KT75" s="30"/>
      <c r="KU75" s="30"/>
      <c r="KV75" s="30"/>
      <c r="KW75" s="30"/>
      <c r="KX75" s="30"/>
      <c r="KY75" s="30"/>
      <c r="KZ75" s="30"/>
      <c r="LA75" s="30"/>
      <c r="LB75" s="30"/>
      <c r="LC75" s="30"/>
      <c r="LD75" s="30"/>
      <c r="LE75" s="30"/>
      <c r="LF75" s="30"/>
      <c r="LG75" s="30"/>
      <c r="LH75" s="30"/>
      <c r="LI75" s="30"/>
      <c r="LJ75" s="30"/>
      <c r="LK75" s="30"/>
      <c r="LL75" s="30"/>
      <c r="LM75" s="30"/>
      <c r="LN75" s="30"/>
      <c r="LO75" s="30"/>
      <c r="LP75" s="30"/>
      <c r="LQ75" s="30"/>
      <c r="LR75" s="30"/>
      <c r="LS75" s="30"/>
      <c r="LT75" s="30"/>
      <c r="LU75" s="30"/>
      <c r="LV75" s="30"/>
      <c r="LW75" s="30"/>
      <c r="LX75" s="30"/>
      <c r="LY75" s="30"/>
      <c r="LZ75" s="30"/>
      <c r="MA75" s="30"/>
      <c r="MB75" s="30"/>
      <c r="MC75" s="30"/>
      <c r="MD75" s="30"/>
      <c r="ME75" s="30"/>
      <c r="MF75" s="30"/>
      <c r="MG75" s="30"/>
      <c r="MH75" s="34"/>
    </row>
    <row r="76" spans="1:346" s="28" customFormat="1" ht="21.9" customHeight="1" thickBot="1">
      <c r="A76" s="258"/>
      <c r="B76" s="234"/>
      <c r="C76" s="233"/>
      <c r="D76" s="273"/>
      <c r="E76" s="61">
        <v>0</v>
      </c>
      <c r="F76" s="78"/>
      <c r="G76" s="63"/>
      <c r="H76" s="69" t="s">
        <v>158</v>
      </c>
      <c r="I76" s="21"/>
      <c r="J76" s="21" t="str">
        <f t="shared" si="87"/>
        <v/>
      </c>
      <c r="K76" s="29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1"/>
      <c r="BV76" s="32"/>
      <c r="BW76" s="33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/>
      <c r="GR76" s="30"/>
      <c r="GS76" s="30"/>
      <c r="GT76" s="30"/>
      <c r="GU76" s="30"/>
      <c r="GV76" s="30"/>
      <c r="GW76" s="30"/>
      <c r="GX76" s="30"/>
      <c r="GY76" s="30"/>
      <c r="GZ76" s="30"/>
      <c r="HA76" s="30"/>
      <c r="HB76" s="30"/>
      <c r="HC76" s="30"/>
      <c r="HD76" s="30"/>
      <c r="HE76" s="30"/>
      <c r="HF76" s="30"/>
      <c r="HG76" s="30"/>
      <c r="HH76" s="30"/>
      <c r="HI76" s="30"/>
      <c r="HJ76" s="30"/>
      <c r="HK76" s="30"/>
      <c r="HL76" s="30"/>
      <c r="HM76" s="30"/>
      <c r="HN76" s="30"/>
      <c r="HO76" s="30"/>
      <c r="HP76" s="30"/>
      <c r="HQ76" s="30"/>
      <c r="HR76" s="30"/>
      <c r="HS76" s="30"/>
      <c r="HT76" s="30"/>
      <c r="HU76" s="30"/>
      <c r="HV76" s="30"/>
      <c r="HW76" s="30"/>
      <c r="HX76" s="30"/>
      <c r="HY76" s="30"/>
      <c r="HZ76" s="30"/>
      <c r="IA76" s="30"/>
      <c r="IB76" s="30"/>
      <c r="IC76" s="30"/>
      <c r="ID76" s="30"/>
      <c r="IE76" s="30"/>
      <c r="IF76" s="30"/>
      <c r="IG76" s="30"/>
      <c r="IH76" s="30"/>
      <c r="II76" s="30"/>
      <c r="IJ76" s="30"/>
      <c r="IK76" s="30"/>
      <c r="IL76" s="30"/>
      <c r="IM76" s="30"/>
      <c r="IN76" s="30"/>
      <c r="IO76" s="30"/>
      <c r="IP76" s="30"/>
      <c r="IQ76" s="30"/>
      <c r="IR76" s="30"/>
      <c r="IS76" s="30"/>
      <c r="IT76" s="30"/>
      <c r="IU76" s="30"/>
      <c r="IV76" s="30"/>
      <c r="IW76" s="30"/>
      <c r="IX76" s="30"/>
      <c r="IY76" s="30"/>
      <c r="IZ76" s="30"/>
      <c r="JA76" s="30"/>
      <c r="JB76" s="30"/>
      <c r="JC76" s="30"/>
      <c r="JD76" s="30"/>
      <c r="JE76" s="30"/>
      <c r="JF76" s="30"/>
      <c r="JG76" s="30"/>
      <c r="JH76" s="30"/>
      <c r="JI76" s="30"/>
      <c r="JJ76" s="30"/>
      <c r="JK76" s="30"/>
      <c r="JL76" s="30"/>
      <c r="JM76" s="30"/>
      <c r="JN76" s="30"/>
      <c r="JO76" s="30"/>
      <c r="JP76" s="30"/>
      <c r="JQ76" s="30"/>
      <c r="JR76" s="30"/>
      <c r="JS76" s="30"/>
      <c r="JT76" s="30"/>
      <c r="JU76" s="30"/>
      <c r="JV76" s="30"/>
      <c r="JW76" s="30"/>
      <c r="JX76" s="30"/>
      <c r="JY76" s="30"/>
      <c r="JZ76" s="30"/>
      <c r="KA76" s="30"/>
      <c r="KB76" s="30"/>
      <c r="KC76" s="30"/>
      <c r="KD76" s="30"/>
      <c r="KE76" s="30"/>
      <c r="KF76" s="30"/>
      <c r="KG76" s="30"/>
      <c r="KH76" s="30"/>
      <c r="KI76" s="30"/>
      <c r="KJ76" s="30"/>
      <c r="KK76" s="31"/>
      <c r="KL76" s="32"/>
      <c r="KM76" s="33"/>
      <c r="KN76" s="30"/>
      <c r="KO76" s="30"/>
      <c r="KP76" s="30"/>
      <c r="KQ76" s="30"/>
      <c r="KR76" s="30"/>
      <c r="KS76" s="30"/>
      <c r="KT76" s="30"/>
      <c r="KU76" s="30"/>
      <c r="KV76" s="30"/>
      <c r="KW76" s="30"/>
      <c r="KX76" s="30"/>
      <c r="KY76" s="30"/>
      <c r="KZ76" s="30"/>
      <c r="LA76" s="30"/>
      <c r="LB76" s="30"/>
      <c r="LC76" s="30"/>
      <c r="LD76" s="30"/>
      <c r="LE76" s="30"/>
      <c r="LF76" s="30"/>
      <c r="LG76" s="30"/>
      <c r="LH76" s="30"/>
      <c r="LI76" s="30"/>
      <c r="LJ76" s="30"/>
      <c r="LK76" s="30"/>
      <c r="LL76" s="30"/>
      <c r="LM76" s="30"/>
      <c r="LN76" s="30"/>
      <c r="LO76" s="30"/>
      <c r="LP76" s="30"/>
      <c r="LQ76" s="30"/>
      <c r="LR76" s="30"/>
      <c r="LS76" s="30"/>
      <c r="LT76" s="30"/>
      <c r="LU76" s="30"/>
      <c r="LV76" s="30"/>
      <c r="LW76" s="30"/>
      <c r="LX76" s="30"/>
      <c r="LY76" s="30"/>
      <c r="LZ76" s="30"/>
      <c r="MA76" s="30"/>
      <c r="MB76" s="30"/>
      <c r="MC76" s="30"/>
      <c r="MD76" s="30"/>
      <c r="ME76" s="30"/>
      <c r="MF76" s="30"/>
      <c r="MG76" s="30"/>
      <c r="MH76" s="34"/>
    </row>
    <row r="77" spans="1:346" s="28" customFormat="1" ht="21.9" customHeight="1" thickBot="1">
      <c r="A77" s="258"/>
      <c r="B77" s="235">
        <v>4.5</v>
      </c>
      <c r="C77" s="237" t="s">
        <v>216</v>
      </c>
      <c r="D77" s="274" t="s">
        <v>177</v>
      </c>
      <c r="E77" s="61">
        <v>0</v>
      </c>
      <c r="F77" s="73">
        <f>G75-5</f>
        <v>46074</v>
      </c>
      <c r="G77" s="58">
        <f>G75+7</f>
        <v>46086</v>
      </c>
      <c r="H77" s="56" t="s">
        <v>154</v>
      </c>
      <c r="I77" s="21"/>
      <c r="J77" s="21">
        <f t="shared" si="87"/>
        <v>13</v>
      </c>
      <c r="K77" s="29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1"/>
      <c r="BV77" s="32"/>
      <c r="BW77" s="33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30"/>
      <c r="GT77" s="30"/>
      <c r="GU77" s="30"/>
      <c r="GV77" s="30"/>
      <c r="GW77" s="30"/>
      <c r="GX77" s="30"/>
      <c r="GY77" s="30"/>
      <c r="GZ77" s="30"/>
      <c r="HA77" s="30"/>
      <c r="HB77" s="30"/>
      <c r="HC77" s="30"/>
      <c r="HD77" s="30"/>
      <c r="HE77" s="30"/>
      <c r="HF77" s="30"/>
      <c r="HG77" s="30"/>
      <c r="HH77" s="30"/>
      <c r="HI77" s="30"/>
      <c r="HJ77" s="30"/>
      <c r="HK77" s="30"/>
      <c r="HL77" s="30"/>
      <c r="HM77" s="30"/>
      <c r="HN77" s="30"/>
      <c r="HO77" s="30"/>
      <c r="HP77" s="30"/>
      <c r="HQ77" s="30"/>
      <c r="HR77" s="30"/>
      <c r="HS77" s="30"/>
      <c r="HT77" s="30"/>
      <c r="HU77" s="30"/>
      <c r="HV77" s="30"/>
      <c r="HW77" s="30"/>
      <c r="HX77" s="30"/>
      <c r="HY77" s="30"/>
      <c r="HZ77" s="30"/>
      <c r="IA77" s="30"/>
      <c r="IB77" s="30"/>
      <c r="IC77" s="30"/>
      <c r="ID77" s="30"/>
      <c r="IE77" s="30"/>
      <c r="IF77" s="30"/>
      <c r="IG77" s="30"/>
      <c r="IH77" s="30"/>
      <c r="II77" s="30"/>
      <c r="IJ77" s="30"/>
      <c r="IK77" s="30"/>
      <c r="IL77" s="30"/>
      <c r="IM77" s="30"/>
      <c r="IN77" s="30"/>
      <c r="IO77" s="30"/>
      <c r="IP77" s="30"/>
      <c r="IQ77" s="30"/>
      <c r="IR77" s="30"/>
      <c r="IS77" s="30"/>
      <c r="IT77" s="30"/>
      <c r="IU77" s="30"/>
      <c r="IV77" s="30"/>
      <c r="IW77" s="30"/>
      <c r="IX77" s="30"/>
      <c r="IY77" s="30"/>
      <c r="IZ77" s="30"/>
      <c r="JA77" s="30"/>
      <c r="JB77" s="30"/>
      <c r="JC77" s="30"/>
      <c r="JD77" s="30"/>
      <c r="JE77" s="30"/>
      <c r="JF77" s="30"/>
      <c r="JG77" s="30"/>
      <c r="JH77" s="30"/>
      <c r="JI77" s="30"/>
      <c r="JJ77" s="30"/>
      <c r="JK77" s="30"/>
      <c r="JL77" s="30"/>
      <c r="JM77" s="30"/>
      <c r="JN77" s="30"/>
      <c r="JO77" s="30"/>
      <c r="JP77" s="30"/>
      <c r="JQ77" s="30"/>
      <c r="JR77" s="30"/>
      <c r="JS77" s="30"/>
      <c r="JT77" s="30"/>
      <c r="JU77" s="30"/>
      <c r="JV77" s="30"/>
      <c r="JW77" s="30"/>
      <c r="JX77" s="30"/>
      <c r="JY77" s="30"/>
      <c r="JZ77" s="30"/>
      <c r="KA77" s="30"/>
      <c r="KB77" s="30"/>
      <c r="KC77" s="30"/>
      <c r="KD77" s="30"/>
      <c r="KE77" s="30"/>
      <c r="KF77" s="30"/>
      <c r="KG77" s="30"/>
      <c r="KH77" s="30"/>
      <c r="KI77" s="30"/>
      <c r="KJ77" s="30"/>
      <c r="KK77" s="31"/>
      <c r="KL77" s="32"/>
      <c r="KM77" s="33"/>
      <c r="KN77" s="30"/>
      <c r="KO77" s="30"/>
      <c r="KP77" s="30"/>
      <c r="KQ77" s="30"/>
      <c r="KR77" s="30"/>
      <c r="KS77" s="30"/>
      <c r="KT77" s="30"/>
      <c r="KU77" s="30"/>
      <c r="KV77" s="30"/>
      <c r="KW77" s="30"/>
      <c r="KX77" s="30"/>
      <c r="KY77" s="30"/>
      <c r="KZ77" s="30"/>
      <c r="LA77" s="30"/>
      <c r="LB77" s="30"/>
      <c r="LC77" s="30"/>
      <c r="LD77" s="30"/>
      <c r="LE77" s="30"/>
      <c r="LF77" s="30"/>
      <c r="LG77" s="30"/>
      <c r="LH77" s="30"/>
      <c r="LI77" s="30"/>
      <c r="LJ77" s="30"/>
      <c r="LK77" s="30"/>
      <c r="LL77" s="30"/>
      <c r="LM77" s="30"/>
      <c r="LN77" s="30"/>
      <c r="LO77" s="30"/>
      <c r="LP77" s="30"/>
      <c r="LQ77" s="30"/>
      <c r="LR77" s="30"/>
      <c r="LS77" s="30"/>
      <c r="LT77" s="30"/>
      <c r="LU77" s="30"/>
      <c r="LV77" s="30"/>
      <c r="LW77" s="30"/>
      <c r="LX77" s="30"/>
      <c r="LY77" s="30"/>
      <c r="LZ77" s="30"/>
      <c r="MA77" s="30"/>
      <c r="MB77" s="30"/>
      <c r="MC77" s="30"/>
      <c r="MD77" s="30"/>
      <c r="ME77" s="30"/>
      <c r="MF77" s="30"/>
      <c r="MG77" s="30"/>
      <c r="MH77" s="34"/>
    </row>
    <row r="78" spans="1:346" s="28" customFormat="1" ht="21.9" customHeight="1" thickBot="1">
      <c r="A78" s="258"/>
      <c r="B78" s="236"/>
      <c r="C78" s="238"/>
      <c r="D78" s="275"/>
      <c r="E78" s="61">
        <v>0</v>
      </c>
      <c r="F78" s="73"/>
      <c r="G78" s="58"/>
      <c r="H78" s="69" t="s">
        <v>158</v>
      </c>
      <c r="I78" s="21"/>
      <c r="J78" s="21" t="str">
        <f t="shared" si="87"/>
        <v/>
      </c>
      <c r="K78" s="29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1"/>
      <c r="BV78" s="32"/>
      <c r="BW78" s="33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/>
      <c r="IN78" s="30"/>
      <c r="IO78" s="30"/>
      <c r="IP78" s="30"/>
      <c r="IQ78" s="30"/>
      <c r="IR78" s="30"/>
      <c r="IS78" s="30"/>
      <c r="IT78" s="30"/>
      <c r="IU78" s="30"/>
      <c r="IV78" s="30"/>
      <c r="IW78" s="30"/>
      <c r="IX78" s="30"/>
      <c r="IY78" s="30"/>
      <c r="IZ78" s="30"/>
      <c r="JA78" s="30"/>
      <c r="JB78" s="30"/>
      <c r="JC78" s="30"/>
      <c r="JD78" s="30"/>
      <c r="JE78" s="30"/>
      <c r="JF78" s="30"/>
      <c r="JG78" s="30"/>
      <c r="JH78" s="30"/>
      <c r="JI78" s="30"/>
      <c r="JJ78" s="30"/>
      <c r="JK78" s="30"/>
      <c r="JL78" s="30"/>
      <c r="JM78" s="30"/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  <c r="KH78" s="30"/>
      <c r="KI78" s="30"/>
      <c r="KJ78" s="30"/>
      <c r="KK78" s="31"/>
      <c r="KL78" s="32"/>
      <c r="KM78" s="33"/>
      <c r="KN78" s="30"/>
      <c r="KO78" s="30"/>
      <c r="KP78" s="30"/>
      <c r="KQ78" s="30"/>
      <c r="KR78" s="30"/>
      <c r="KS78" s="30"/>
      <c r="KT78" s="30"/>
      <c r="KU78" s="30"/>
      <c r="KV78" s="30"/>
      <c r="KW78" s="30"/>
      <c r="KX78" s="30"/>
      <c r="KY78" s="30"/>
      <c r="KZ78" s="30"/>
      <c r="LA78" s="30"/>
      <c r="LB78" s="30"/>
      <c r="LC78" s="30"/>
      <c r="LD78" s="30"/>
      <c r="LE78" s="30"/>
      <c r="LF78" s="30"/>
      <c r="LG78" s="30"/>
      <c r="LH78" s="30"/>
      <c r="LI78" s="30"/>
      <c r="LJ78" s="30"/>
      <c r="LK78" s="30"/>
      <c r="LL78" s="30"/>
      <c r="LM78" s="30"/>
      <c r="LN78" s="30"/>
      <c r="LO78" s="30"/>
      <c r="LP78" s="30"/>
      <c r="LQ78" s="30"/>
      <c r="LR78" s="30"/>
      <c r="LS78" s="30"/>
      <c r="LT78" s="30"/>
      <c r="LU78" s="30"/>
      <c r="LV78" s="30"/>
      <c r="LW78" s="30"/>
      <c r="LX78" s="30"/>
      <c r="LY78" s="30"/>
      <c r="LZ78" s="30"/>
      <c r="MA78" s="30"/>
      <c r="MB78" s="30"/>
      <c r="MC78" s="30"/>
      <c r="MD78" s="30"/>
      <c r="ME78" s="30"/>
      <c r="MF78" s="30"/>
      <c r="MG78" s="30"/>
      <c r="MH78" s="34"/>
    </row>
    <row r="79" spans="1:346" s="28" customFormat="1" ht="21.9" customHeight="1" thickBot="1">
      <c r="A79" s="258"/>
      <c r="B79" s="245">
        <v>4.5999999999999996</v>
      </c>
      <c r="C79" s="232" t="s">
        <v>217</v>
      </c>
      <c r="D79" s="230" t="s">
        <v>177</v>
      </c>
      <c r="E79" s="61">
        <v>0</v>
      </c>
      <c r="F79" s="78">
        <f>F77+1</f>
        <v>46075</v>
      </c>
      <c r="G79" s="63">
        <f>G77+1</f>
        <v>46087</v>
      </c>
      <c r="H79" s="72" t="s">
        <v>154</v>
      </c>
      <c r="I79" s="21"/>
      <c r="J79" s="21">
        <f t="shared" si="87"/>
        <v>13</v>
      </c>
      <c r="K79" s="29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1"/>
      <c r="BV79" s="32"/>
      <c r="BW79" s="33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  <c r="GY79" s="30"/>
      <c r="GZ79" s="30"/>
      <c r="HA79" s="30"/>
      <c r="HB79" s="30"/>
      <c r="HC79" s="30"/>
      <c r="HD79" s="30"/>
      <c r="HE79" s="30"/>
      <c r="HF79" s="30"/>
      <c r="HG79" s="30"/>
      <c r="HH79" s="30"/>
      <c r="HI79" s="30"/>
      <c r="HJ79" s="30"/>
      <c r="HK79" s="30"/>
      <c r="HL79" s="30"/>
      <c r="HM79" s="30"/>
      <c r="HN79" s="30"/>
      <c r="HO79" s="30"/>
      <c r="HP79" s="30"/>
      <c r="HQ79" s="30"/>
      <c r="HR79" s="30"/>
      <c r="HS79" s="30"/>
      <c r="HT79" s="30"/>
      <c r="HU79" s="30"/>
      <c r="HV79" s="30"/>
      <c r="HW79" s="30"/>
      <c r="HX79" s="30"/>
      <c r="HY79" s="30"/>
      <c r="HZ79" s="30"/>
      <c r="IA79" s="30"/>
      <c r="IB79" s="30"/>
      <c r="IC79" s="30"/>
      <c r="ID79" s="30"/>
      <c r="IE79" s="30"/>
      <c r="IF79" s="30"/>
      <c r="IG79" s="30"/>
      <c r="IH79" s="30"/>
      <c r="II79" s="30"/>
      <c r="IJ79" s="30"/>
      <c r="IK79" s="30"/>
      <c r="IL79" s="30"/>
      <c r="IM79" s="30"/>
      <c r="IN79" s="30"/>
      <c r="IO79" s="30"/>
      <c r="IP79" s="30"/>
      <c r="IQ79" s="30"/>
      <c r="IR79" s="30"/>
      <c r="IS79" s="30"/>
      <c r="IT79" s="30"/>
      <c r="IU79" s="30"/>
      <c r="IV79" s="30"/>
      <c r="IW79" s="30"/>
      <c r="IX79" s="30"/>
      <c r="IY79" s="30"/>
      <c r="IZ79" s="30"/>
      <c r="JA79" s="30"/>
      <c r="JB79" s="30"/>
      <c r="JC79" s="30"/>
      <c r="JD79" s="30"/>
      <c r="JE79" s="30"/>
      <c r="JF79" s="30"/>
      <c r="JG79" s="30"/>
      <c r="JH79" s="30"/>
      <c r="JI79" s="30"/>
      <c r="JJ79" s="30"/>
      <c r="JK79" s="30"/>
      <c r="JL79" s="30"/>
      <c r="JM79" s="30"/>
      <c r="JN79" s="30"/>
      <c r="JO79" s="30"/>
      <c r="JP79" s="30"/>
      <c r="JQ79" s="30"/>
      <c r="JR79" s="30"/>
      <c r="JS79" s="30"/>
      <c r="JT79" s="30"/>
      <c r="JU79" s="30"/>
      <c r="JV79" s="30"/>
      <c r="JW79" s="30"/>
      <c r="JX79" s="30"/>
      <c r="JY79" s="30"/>
      <c r="JZ79" s="30"/>
      <c r="KA79" s="30"/>
      <c r="KB79" s="30"/>
      <c r="KC79" s="30"/>
      <c r="KD79" s="30"/>
      <c r="KE79" s="30"/>
      <c r="KF79" s="30"/>
      <c r="KG79" s="30"/>
      <c r="KH79" s="30"/>
      <c r="KI79" s="30"/>
      <c r="KJ79" s="30"/>
      <c r="KK79" s="31"/>
      <c r="KL79" s="32"/>
      <c r="KM79" s="33"/>
      <c r="KN79" s="30"/>
      <c r="KO79" s="30"/>
      <c r="KP79" s="30"/>
      <c r="KQ79" s="30"/>
      <c r="KR79" s="30"/>
      <c r="KS79" s="30"/>
      <c r="KT79" s="30"/>
      <c r="KU79" s="30"/>
      <c r="KV79" s="30"/>
      <c r="KW79" s="30"/>
      <c r="KX79" s="30"/>
      <c r="KY79" s="30"/>
      <c r="KZ79" s="30"/>
      <c r="LA79" s="30"/>
      <c r="LB79" s="30"/>
      <c r="LC79" s="30"/>
      <c r="LD79" s="30"/>
      <c r="LE79" s="30"/>
      <c r="LF79" s="30"/>
      <c r="LG79" s="30"/>
      <c r="LH79" s="30"/>
      <c r="LI79" s="30"/>
      <c r="LJ79" s="30"/>
      <c r="LK79" s="30"/>
      <c r="LL79" s="30"/>
      <c r="LM79" s="30"/>
      <c r="LN79" s="30"/>
      <c r="LO79" s="30"/>
      <c r="LP79" s="30"/>
      <c r="LQ79" s="30"/>
      <c r="LR79" s="30"/>
      <c r="LS79" s="30"/>
      <c r="LT79" s="30"/>
      <c r="LU79" s="30"/>
      <c r="LV79" s="30"/>
      <c r="LW79" s="30"/>
      <c r="LX79" s="30"/>
      <c r="LY79" s="30"/>
      <c r="LZ79" s="30"/>
      <c r="MA79" s="30"/>
      <c r="MB79" s="30"/>
      <c r="MC79" s="30"/>
      <c r="MD79" s="30"/>
      <c r="ME79" s="30"/>
      <c r="MF79" s="30"/>
      <c r="MG79" s="30"/>
      <c r="MH79" s="34"/>
    </row>
    <row r="80" spans="1:346" s="28" customFormat="1" ht="21.9" customHeight="1" thickBot="1">
      <c r="A80" s="258"/>
      <c r="B80" s="246"/>
      <c r="C80" s="247"/>
      <c r="D80" s="276"/>
      <c r="E80" s="91">
        <v>0</v>
      </c>
      <c r="F80" s="92"/>
      <c r="G80" s="65"/>
      <c r="H80" s="66" t="s">
        <v>158</v>
      </c>
      <c r="I80" s="93"/>
      <c r="J80" s="93" t="str">
        <f t="shared" si="87"/>
        <v/>
      </c>
      <c r="K80" s="29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1"/>
      <c r="BV80" s="32"/>
      <c r="BW80" s="33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  <c r="GY80" s="30"/>
      <c r="GZ80" s="30"/>
      <c r="HA80" s="30"/>
      <c r="HB80" s="30"/>
      <c r="HC80" s="30"/>
      <c r="HD80" s="30"/>
      <c r="HE80" s="30"/>
      <c r="HF80" s="30"/>
      <c r="HG80" s="30"/>
      <c r="HH80" s="30"/>
      <c r="HI80" s="30"/>
      <c r="HJ80" s="30"/>
      <c r="HK80" s="30"/>
      <c r="HL80" s="30"/>
      <c r="HM80" s="30"/>
      <c r="HN80" s="30"/>
      <c r="HO80" s="30"/>
      <c r="HP80" s="30"/>
      <c r="HQ80" s="30"/>
      <c r="HR80" s="30"/>
      <c r="HS80" s="30"/>
      <c r="HT80" s="30"/>
      <c r="HU80" s="30"/>
      <c r="HV80" s="30"/>
      <c r="HW80" s="30"/>
      <c r="HX80" s="30"/>
      <c r="HY80" s="30"/>
      <c r="HZ80" s="30"/>
      <c r="IA80" s="30"/>
      <c r="IB80" s="30"/>
      <c r="IC80" s="30"/>
      <c r="ID80" s="30"/>
      <c r="IE80" s="30"/>
      <c r="IF80" s="30"/>
      <c r="IG80" s="30"/>
      <c r="IH80" s="30"/>
      <c r="II80" s="30"/>
      <c r="IJ80" s="30"/>
      <c r="IK80" s="30"/>
      <c r="IL80" s="30"/>
      <c r="IM80" s="30"/>
      <c r="IN80" s="30"/>
      <c r="IO80" s="30"/>
      <c r="IP80" s="30"/>
      <c r="IQ80" s="30"/>
      <c r="IR80" s="30"/>
      <c r="IS80" s="30"/>
      <c r="IT80" s="30"/>
      <c r="IU80" s="30"/>
      <c r="IV80" s="30"/>
      <c r="IW80" s="30"/>
      <c r="IX80" s="30"/>
      <c r="IY80" s="30"/>
      <c r="IZ80" s="30"/>
      <c r="JA80" s="30"/>
      <c r="JB80" s="30"/>
      <c r="JC80" s="30"/>
      <c r="JD80" s="30"/>
      <c r="JE80" s="30"/>
      <c r="JF80" s="30"/>
      <c r="JG80" s="30"/>
      <c r="JH80" s="30"/>
      <c r="JI80" s="30"/>
      <c r="JJ80" s="30"/>
      <c r="JK80" s="30"/>
      <c r="JL80" s="30"/>
      <c r="JM80" s="30"/>
      <c r="JN80" s="30"/>
      <c r="JO80" s="30"/>
      <c r="JP80" s="30"/>
      <c r="JQ80" s="30"/>
      <c r="JR80" s="30"/>
      <c r="JS80" s="30"/>
      <c r="JT80" s="30"/>
      <c r="JU80" s="30"/>
      <c r="JV80" s="30"/>
      <c r="JW80" s="30"/>
      <c r="JX80" s="30"/>
      <c r="JY80" s="30"/>
      <c r="JZ80" s="30"/>
      <c r="KA80" s="30"/>
      <c r="KB80" s="30"/>
      <c r="KC80" s="30"/>
      <c r="KD80" s="30"/>
      <c r="KE80" s="30"/>
      <c r="KF80" s="30"/>
      <c r="KG80" s="30"/>
      <c r="KH80" s="30"/>
      <c r="KI80" s="30"/>
      <c r="KJ80" s="30"/>
      <c r="KK80" s="31"/>
      <c r="KL80" s="32"/>
      <c r="KM80" s="33"/>
      <c r="KN80" s="30"/>
      <c r="KO80" s="30"/>
      <c r="KP80" s="30"/>
      <c r="KQ80" s="30"/>
      <c r="KR80" s="30"/>
      <c r="KS80" s="30"/>
      <c r="KT80" s="30"/>
      <c r="KU80" s="30"/>
      <c r="KV80" s="30"/>
      <c r="KW80" s="30"/>
      <c r="KX80" s="30"/>
      <c r="KY80" s="30"/>
      <c r="KZ80" s="30"/>
      <c r="LA80" s="30"/>
      <c r="LB80" s="30"/>
      <c r="LC80" s="30"/>
      <c r="LD80" s="30"/>
      <c r="LE80" s="30"/>
      <c r="LF80" s="30"/>
      <c r="LG80" s="30"/>
      <c r="LH80" s="30"/>
      <c r="LI80" s="30"/>
      <c r="LJ80" s="30"/>
      <c r="LK80" s="30"/>
      <c r="LL80" s="30"/>
      <c r="LM80" s="30"/>
      <c r="LN80" s="30"/>
      <c r="LO80" s="30"/>
      <c r="LP80" s="30"/>
      <c r="LQ80" s="30"/>
      <c r="LR80" s="30"/>
      <c r="LS80" s="30"/>
      <c r="LT80" s="30"/>
      <c r="LU80" s="30"/>
      <c r="LV80" s="30"/>
      <c r="LW80" s="30"/>
      <c r="LX80" s="30"/>
      <c r="LY80" s="30"/>
      <c r="LZ80" s="30"/>
      <c r="MA80" s="30"/>
      <c r="MB80" s="30"/>
      <c r="MC80" s="30"/>
      <c r="MD80" s="30"/>
      <c r="ME80" s="30"/>
      <c r="MF80" s="30"/>
      <c r="MG80" s="30"/>
      <c r="MH80" s="34"/>
    </row>
    <row r="81" spans="1:346" s="28" customFormat="1" ht="21.9" customHeight="1" thickBot="1">
      <c r="A81" s="262" t="s">
        <v>218</v>
      </c>
      <c r="B81" s="248">
        <v>5</v>
      </c>
      <c r="C81" s="250" t="s">
        <v>219</v>
      </c>
      <c r="D81" s="272" t="s">
        <v>177</v>
      </c>
      <c r="E81" s="77">
        <v>0</v>
      </c>
      <c r="F81" s="79">
        <v>46083</v>
      </c>
      <c r="G81" s="80">
        <f>F81+50</f>
        <v>46133</v>
      </c>
      <c r="H81" s="56" t="s">
        <v>154</v>
      </c>
      <c r="I81" s="94"/>
      <c r="J81" s="95">
        <f t="shared" si="87"/>
        <v>51</v>
      </c>
      <c r="K81" s="29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1"/>
      <c r="BV81" s="32"/>
      <c r="BW81" s="33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  <c r="GY81" s="30"/>
      <c r="GZ81" s="30"/>
      <c r="HA81" s="30"/>
      <c r="HB81" s="30"/>
      <c r="HC81" s="30"/>
      <c r="HD81" s="30"/>
      <c r="HE81" s="30"/>
      <c r="HF81" s="30"/>
      <c r="HG81" s="30"/>
      <c r="HH81" s="30"/>
      <c r="HI81" s="30"/>
      <c r="HJ81" s="30"/>
      <c r="HK81" s="30"/>
      <c r="HL81" s="30"/>
      <c r="HM81" s="30"/>
      <c r="HN81" s="30"/>
      <c r="HO81" s="30"/>
      <c r="HP81" s="30"/>
      <c r="HQ81" s="30"/>
      <c r="HR81" s="30"/>
      <c r="HS81" s="30"/>
      <c r="HT81" s="30"/>
      <c r="HU81" s="30"/>
      <c r="HV81" s="30"/>
      <c r="HW81" s="30"/>
      <c r="HX81" s="30"/>
      <c r="HY81" s="30"/>
      <c r="HZ81" s="30"/>
      <c r="IA81" s="30"/>
      <c r="IB81" s="30"/>
      <c r="IC81" s="30"/>
      <c r="ID81" s="30"/>
      <c r="IE81" s="30"/>
      <c r="IF81" s="30"/>
      <c r="IG81" s="30"/>
      <c r="IH81" s="30"/>
      <c r="II81" s="30"/>
      <c r="IJ81" s="30"/>
      <c r="IK81" s="30"/>
      <c r="IL81" s="30"/>
      <c r="IM81" s="30"/>
      <c r="IN81" s="30"/>
      <c r="IO81" s="30"/>
      <c r="IP81" s="30"/>
      <c r="IQ81" s="30"/>
      <c r="IR81" s="30"/>
      <c r="IS81" s="30"/>
      <c r="IT81" s="30"/>
      <c r="IU81" s="30"/>
      <c r="IV81" s="30"/>
      <c r="IW81" s="30"/>
      <c r="IX81" s="30"/>
      <c r="IY81" s="30"/>
      <c r="IZ81" s="30"/>
      <c r="JA81" s="30"/>
      <c r="JB81" s="30"/>
      <c r="JC81" s="30"/>
      <c r="JD81" s="30"/>
      <c r="JE81" s="30"/>
      <c r="JF81" s="30"/>
      <c r="JG81" s="30"/>
      <c r="JH81" s="30"/>
      <c r="JI81" s="30"/>
      <c r="JJ81" s="30"/>
      <c r="JK81" s="30"/>
      <c r="JL81" s="30"/>
      <c r="JM81" s="30"/>
      <c r="JN81" s="30"/>
      <c r="JO81" s="30"/>
      <c r="JP81" s="30"/>
      <c r="JQ81" s="30"/>
      <c r="JR81" s="30"/>
      <c r="JS81" s="30"/>
      <c r="JT81" s="30"/>
      <c r="JU81" s="30"/>
      <c r="JV81" s="30"/>
      <c r="JW81" s="30"/>
      <c r="JX81" s="30"/>
      <c r="JY81" s="30"/>
      <c r="JZ81" s="30"/>
      <c r="KA81" s="30"/>
      <c r="KB81" s="30"/>
      <c r="KC81" s="30"/>
      <c r="KD81" s="30"/>
      <c r="KE81" s="30"/>
      <c r="KF81" s="30"/>
      <c r="KG81" s="30"/>
      <c r="KH81" s="30"/>
      <c r="KI81" s="30"/>
      <c r="KJ81" s="30"/>
      <c r="KK81" s="31"/>
      <c r="KL81" s="32"/>
      <c r="KM81" s="33"/>
      <c r="KN81" s="30"/>
      <c r="KO81" s="30"/>
      <c r="KP81" s="30"/>
      <c r="KQ81" s="30"/>
      <c r="KR81" s="30"/>
      <c r="KS81" s="30"/>
      <c r="KT81" s="30"/>
      <c r="KU81" s="30"/>
      <c r="KV81" s="30"/>
      <c r="KW81" s="30"/>
      <c r="KX81" s="30"/>
      <c r="KY81" s="30"/>
      <c r="KZ81" s="30"/>
      <c r="LA81" s="30"/>
      <c r="LB81" s="30"/>
      <c r="LC81" s="30"/>
      <c r="LD81" s="30"/>
      <c r="LE81" s="30"/>
      <c r="LF81" s="30"/>
      <c r="LG81" s="30"/>
      <c r="LH81" s="30"/>
      <c r="LI81" s="30"/>
      <c r="LJ81" s="30"/>
      <c r="LK81" s="30"/>
      <c r="LL81" s="30"/>
      <c r="LM81" s="30"/>
      <c r="LN81" s="30"/>
      <c r="LO81" s="30"/>
      <c r="LP81" s="30"/>
      <c r="LQ81" s="30"/>
      <c r="LR81" s="30"/>
      <c r="LS81" s="30"/>
      <c r="LT81" s="30"/>
      <c r="LU81" s="30"/>
      <c r="LV81" s="30"/>
      <c r="LW81" s="30"/>
      <c r="LX81" s="30"/>
      <c r="LY81" s="30"/>
      <c r="LZ81" s="30"/>
      <c r="MA81" s="30"/>
      <c r="MB81" s="30"/>
      <c r="MC81" s="30"/>
      <c r="MD81" s="30"/>
      <c r="ME81" s="30"/>
      <c r="MF81" s="30"/>
      <c r="MG81" s="30"/>
      <c r="MH81" s="34"/>
    </row>
    <row r="82" spans="1:346" s="28" customFormat="1" ht="21.9" customHeight="1" thickBot="1">
      <c r="A82" s="263"/>
      <c r="B82" s="249"/>
      <c r="C82" s="251"/>
      <c r="D82" s="241"/>
      <c r="E82" s="61">
        <v>0</v>
      </c>
      <c r="F82" s="78"/>
      <c r="G82" s="63"/>
      <c r="H82" s="69" t="s">
        <v>158</v>
      </c>
      <c r="I82" s="21"/>
      <c r="J82" s="96" t="str">
        <f t="shared" si="87"/>
        <v/>
      </c>
      <c r="K82" s="29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1"/>
      <c r="BV82" s="32"/>
      <c r="BW82" s="33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30"/>
      <c r="GX82" s="30"/>
      <c r="GY82" s="30"/>
      <c r="GZ82" s="30"/>
      <c r="HA82" s="30"/>
      <c r="HB82" s="30"/>
      <c r="HC82" s="30"/>
      <c r="HD82" s="30"/>
      <c r="HE82" s="30"/>
      <c r="HF82" s="30"/>
      <c r="HG82" s="30"/>
      <c r="HH82" s="30"/>
      <c r="HI82" s="30"/>
      <c r="HJ82" s="30"/>
      <c r="HK82" s="30"/>
      <c r="HL82" s="30"/>
      <c r="HM82" s="30"/>
      <c r="HN82" s="30"/>
      <c r="HO82" s="30"/>
      <c r="HP82" s="30"/>
      <c r="HQ82" s="30"/>
      <c r="HR82" s="30"/>
      <c r="HS82" s="30"/>
      <c r="HT82" s="30"/>
      <c r="HU82" s="30"/>
      <c r="HV82" s="30"/>
      <c r="HW82" s="30"/>
      <c r="HX82" s="30"/>
      <c r="HY82" s="30"/>
      <c r="HZ82" s="30"/>
      <c r="IA82" s="30"/>
      <c r="IB82" s="30"/>
      <c r="IC82" s="30"/>
      <c r="ID82" s="30"/>
      <c r="IE82" s="30"/>
      <c r="IF82" s="30"/>
      <c r="IG82" s="30"/>
      <c r="IH82" s="30"/>
      <c r="II82" s="30"/>
      <c r="IJ82" s="30"/>
      <c r="IK82" s="30"/>
      <c r="IL82" s="30"/>
      <c r="IM82" s="30"/>
      <c r="IN82" s="30"/>
      <c r="IO82" s="30"/>
      <c r="IP82" s="30"/>
      <c r="IQ82" s="30"/>
      <c r="IR82" s="30"/>
      <c r="IS82" s="30"/>
      <c r="IT82" s="30"/>
      <c r="IU82" s="30"/>
      <c r="IV82" s="30"/>
      <c r="IW82" s="30"/>
      <c r="IX82" s="30"/>
      <c r="IY82" s="30"/>
      <c r="IZ82" s="30"/>
      <c r="JA82" s="30"/>
      <c r="JB82" s="30"/>
      <c r="JC82" s="30"/>
      <c r="JD82" s="30"/>
      <c r="JE82" s="30"/>
      <c r="JF82" s="30"/>
      <c r="JG82" s="30"/>
      <c r="JH82" s="30"/>
      <c r="JI82" s="30"/>
      <c r="JJ82" s="30"/>
      <c r="JK82" s="30"/>
      <c r="JL82" s="30"/>
      <c r="JM82" s="30"/>
      <c r="JN82" s="30"/>
      <c r="JO82" s="30"/>
      <c r="JP82" s="30"/>
      <c r="JQ82" s="30"/>
      <c r="JR82" s="30"/>
      <c r="JS82" s="30"/>
      <c r="JT82" s="30"/>
      <c r="JU82" s="30"/>
      <c r="JV82" s="30"/>
      <c r="JW82" s="30"/>
      <c r="JX82" s="30"/>
      <c r="JY82" s="30"/>
      <c r="JZ82" s="30"/>
      <c r="KA82" s="30"/>
      <c r="KB82" s="30"/>
      <c r="KC82" s="30"/>
      <c r="KD82" s="30"/>
      <c r="KE82" s="30"/>
      <c r="KF82" s="30"/>
      <c r="KG82" s="30"/>
      <c r="KH82" s="30"/>
      <c r="KI82" s="30"/>
      <c r="KJ82" s="30"/>
      <c r="KK82" s="31"/>
      <c r="KL82" s="32"/>
      <c r="KM82" s="33"/>
      <c r="KN82" s="30"/>
      <c r="KO82" s="30"/>
      <c r="KP82" s="30"/>
      <c r="KQ82" s="30"/>
      <c r="KR82" s="30"/>
      <c r="KS82" s="30"/>
      <c r="KT82" s="30"/>
      <c r="KU82" s="30"/>
      <c r="KV82" s="30"/>
      <c r="KW82" s="30"/>
      <c r="KX82" s="30"/>
      <c r="KY82" s="30"/>
      <c r="KZ82" s="30"/>
      <c r="LA82" s="30"/>
      <c r="LB82" s="30"/>
      <c r="LC82" s="30"/>
      <c r="LD82" s="30"/>
      <c r="LE82" s="30"/>
      <c r="LF82" s="30"/>
      <c r="LG82" s="30"/>
      <c r="LH82" s="30"/>
      <c r="LI82" s="30"/>
      <c r="LJ82" s="30"/>
      <c r="LK82" s="30"/>
      <c r="LL82" s="30"/>
      <c r="LM82" s="30"/>
      <c r="LN82" s="30"/>
      <c r="LO82" s="30"/>
      <c r="LP82" s="30"/>
      <c r="LQ82" s="30"/>
      <c r="LR82" s="30"/>
      <c r="LS82" s="30"/>
      <c r="LT82" s="30"/>
      <c r="LU82" s="30"/>
      <c r="LV82" s="30"/>
      <c r="LW82" s="30"/>
      <c r="LX82" s="30"/>
      <c r="LY82" s="30"/>
      <c r="LZ82" s="30"/>
      <c r="MA82" s="30"/>
      <c r="MB82" s="30"/>
      <c r="MC82" s="30"/>
      <c r="MD82" s="30"/>
      <c r="ME82" s="30"/>
      <c r="MF82" s="30"/>
      <c r="MG82" s="30"/>
      <c r="MH82" s="34"/>
    </row>
    <row r="83" spans="1:346" s="28" customFormat="1" ht="21.9" customHeight="1" thickBot="1">
      <c r="A83" s="263"/>
      <c r="B83" s="249">
        <v>6</v>
      </c>
      <c r="C83" s="251" t="s">
        <v>220</v>
      </c>
      <c r="D83" s="241" t="s">
        <v>177</v>
      </c>
      <c r="E83" s="61">
        <v>0</v>
      </c>
      <c r="F83" s="78">
        <f>G81-30</f>
        <v>46103</v>
      </c>
      <c r="G83" s="63">
        <f>F83+30</f>
        <v>46133</v>
      </c>
      <c r="H83" s="56" t="s">
        <v>154</v>
      </c>
      <c r="I83" s="37"/>
      <c r="J83" s="96">
        <f t="shared" si="87"/>
        <v>31</v>
      </c>
      <c r="K83" s="29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1"/>
      <c r="BV83" s="32"/>
      <c r="BW83" s="33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30"/>
      <c r="GT83" s="30"/>
      <c r="GU83" s="30"/>
      <c r="GV83" s="30"/>
      <c r="GW83" s="30"/>
      <c r="GX83" s="30"/>
      <c r="GY83" s="30"/>
      <c r="GZ83" s="30"/>
      <c r="HA83" s="30"/>
      <c r="HB83" s="30"/>
      <c r="HC83" s="30"/>
      <c r="HD83" s="30"/>
      <c r="HE83" s="30"/>
      <c r="HF83" s="30"/>
      <c r="HG83" s="30"/>
      <c r="HH83" s="30"/>
      <c r="HI83" s="30"/>
      <c r="HJ83" s="30"/>
      <c r="HK83" s="30"/>
      <c r="HL83" s="30"/>
      <c r="HM83" s="30"/>
      <c r="HN83" s="30"/>
      <c r="HO83" s="30"/>
      <c r="HP83" s="30"/>
      <c r="HQ83" s="30"/>
      <c r="HR83" s="30"/>
      <c r="HS83" s="30"/>
      <c r="HT83" s="30"/>
      <c r="HU83" s="30"/>
      <c r="HV83" s="30"/>
      <c r="HW83" s="30"/>
      <c r="HX83" s="30"/>
      <c r="HY83" s="30"/>
      <c r="HZ83" s="30"/>
      <c r="IA83" s="30"/>
      <c r="IB83" s="30"/>
      <c r="IC83" s="30"/>
      <c r="ID83" s="30"/>
      <c r="IE83" s="30"/>
      <c r="IF83" s="30"/>
      <c r="IG83" s="30"/>
      <c r="IH83" s="30"/>
      <c r="II83" s="30"/>
      <c r="IJ83" s="30"/>
      <c r="IK83" s="30"/>
      <c r="IL83" s="30"/>
      <c r="IM83" s="30"/>
      <c r="IN83" s="30"/>
      <c r="IO83" s="30"/>
      <c r="IP83" s="30"/>
      <c r="IQ83" s="30"/>
      <c r="IR83" s="30"/>
      <c r="IS83" s="30"/>
      <c r="IT83" s="30"/>
      <c r="IU83" s="30"/>
      <c r="IV83" s="30"/>
      <c r="IW83" s="30"/>
      <c r="IX83" s="30"/>
      <c r="IY83" s="30"/>
      <c r="IZ83" s="30"/>
      <c r="JA83" s="30"/>
      <c r="JB83" s="30"/>
      <c r="JC83" s="30"/>
      <c r="JD83" s="30"/>
      <c r="JE83" s="30"/>
      <c r="JF83" s="30"/>
      <c r="JG83" s="30"/>
      <c r="JH83" s="30"/>
      <c r="JI83" s="30"/>
      <c r="JJ83" s="30"/>
      <c r="JK83" s="30"/>
      <c r="JL83" s="30"/>
      <c r="JM83" s="30"/>
      <c r="JN83" s="30"/>
      <c r="JO83" s="30"/>
      <c r="JP83" s="30"/>
      <c r="JQ83" s="30"/>
      <c r="JR83" s="30"/>
      <c r="JS83" s="30"/>
      <c r="JT83" s="30"/>
      <c r="JU83" s="30"/>
      <c r="JV83" s="30"/>
      <c r="JW83" s="30"/>
      <c r="JX83" s="30"/>
      <c r="JY83" s="30"/>
      <c r="JZ83" s="30"/>
      <c r="KA83" s="30"/>
      <c r="KB83" s="30"/>
      <c r="KC83" s="30"/>
      <c r="KD83" s="30"/>
      <c r="KE83" s="30"/>
      <c r="KF83" s="30"/>
      <c r="KG83" s="30"/>
      <c r="KH83" s="30"/>
      <c r="KI83" s="30"/>
      <c r="KJ83" s="30"/>
      <c r="KK83" s="31"/>
      <c r="KL83" s="32"/>
      <c r="KM83" s="33"/>
      <c r="KN83" s="30"/>
      <c r="KO83" s="30"/>
      <c r="KP83" s="30"/>
      <c r="KQ83" s="30"/>
      <c r="KR83" s="30"/>
      <c r="KS83" s="30"/>
      <c r="KT83" s="30"/>
      <c r="KU83" s="30"/>
      <c r="KV83" s="30"/>
      <c r="KW83" s="30"/>
      <c r="KX83" s="30"/>
      <c r="KY83" s="30"/>
      <c r="KZ83" s="30"/>
      <c r="LA83" s="30"/>
      <c r="LB83" s="30"/>
      <c r="LC83" s="30"/>
      <c r="LD83" s="30"/>
      <c r="LE83" s="30"/>
      <c r="LF83" s="30"/>
      <c r="LG83" s="30"/>
      <c r="LH83" s="30"/>
      <c r="LI83" s="30"/>
      <c r="LJ83" s="30"/>
      <c r="LK83" s="30"/>
      <c r="LL83" s="30"/>
      <c r="LM83" s="30"/>
      <c r="LN83" s="30"/>
      <c r="LO83" s="30"/>
      <c r="LP83" s="30"/>
      <c r="LQ83" s="30"/>
      <c r="LR83" s="30"/>
      <c r="LS83" s="30"/>
      <c r="LT83" s="30"/>
      <c r="LU83" s="30"/>
      <c r="LV83" s="30"/>
      <c r="LW83" s="30"/>
      <c r="LX83" s="30"/>
      <c r="LY83" s="30"/>
      <c r="LZ83" s="30"/>
      <c r="MA83" s="30"/>
      <c r="MB83" s="30"/>
      <c r="MC83" s="30"/>
      <c r="MD83" s="30"/>
      <c r="ME83" s="30"/>
      <c r="MF83" s="30"/>
      <c r="MG83" s="30"/>
      <c r="MH83" s="34"/>
    </row>
    <row r="84" spans="1:346" ht="21.9" customHeight="1" thickBot="1">
      <c r="A84" s="263"/>
      <c r="B84" s="249"/>
      <c r="C84" s="251"/>
      <c r="D84" s="241"/>
      <c r="E84" s="61">
        <v>0</v>
      </c>
      <c r="F84" s="78"/>
      <c r="G84" s="63"/>
      <c r="H84" s="69" t="s">
        <v>158</v>
      </c>
      <c r="I84" s="7"/>
      <c r="J84" s="96" t="str">
        <f t="shared" ref="J84:J88" si="88">IF(OR(ISBLANK(task_start),ISBLANK(task_end)),"",task_end-task_start+1)</f>
        <v/>
      </c>
      <c r="K84" s="29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1"/>
      <c r="BV84" s="32"/>
      <c r="BW84" s="33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30"/>
      <c r="HJ84" s="30"/>
      <c r="HK84" s="30"/>
      <c r="HL84" s="30"/>
      <c r="HM84" s="30"/>
      <c r="HN84" s="30"/>
      <c r="HO84" s="30"/>
      <c r="HP84" s="30"/>
      <c r="HQ84" s="30"/>
      <c r="HR84" s="30"/>
      <c r="HS84" s="30"/>
      <c r="HT84" s="30"/>
      <c r="HU84" s="30"/>
      <c r="HV84" s="30"/>
      <c r="HW84" s="30"/>
      <c r="HX84" s="30"/>
      <c r="HY84" s="30"/>
      <c r="HZ84" s="30"/>
      <c r="IA84" s="30"/>
      <c r="IB84" s="30"/>
      <c r="IC84" s="30"/>
      <c r="ID84" s="30"/>
      <c r="IE84" s="30"/>
      <c r="IF84" s="30"/>
      <c r="IG84" s="30"/>
      <c r="IH84" s="30"/>
      <c r="II84" s="30"/>
      <c r="IJ84" s="30"/>
      <c r="IK84" s="30"/>
      <c r="IL84" s="30"/>
      <c r="IM84" s="30"/>
      <c r="IN84" s="30"/>
      <c r="IO84" s="30"/>
      <c r="IP84" s="30"/>
      <c r="IQ84" s="30"/>
      <c r="IR84" s="30"/>
      <c r="IS84" s="30"/>
      <c r="IT84" s="30"/>
      <c r="IU84" s="30"/>
      <c r="IV84" s="30"/>
      <c r="IW84" s="30"/>
      <c r="IX84" s="30"/>
      <c r="IY84" s="30"/>
      <c r="IZ84" s="30"/>
      <c r="JA84" s="30"/>
      <c r="JB84" s="30"/>
      <c r="JC84" s="30"/>
      <c r="JD84" s="30"/>
      <c r="JE84" s="30"/>
      <c r="JF84" s="30"/>
      <c r="JG84" s="30"/>
      <c r="JH84" s="30"/>
      <c r="JI84" s="30"/>
      <c r="JJ84" s="30"/>
      <c r="JK84" s="30"/>
      <c r="JL84" s="30"/>
      <c r="JM84" s="30"/>
      <c r="JN84" s="30"/>
      <c r="JO84" s="30"/>
      <c r="JP84" s="30"/>
      <c r="JQ84" s="30"/>
      <c r="JR84" s="30"/>
      <c r="JS84" s="30"/>
      <c r="JT84" s="30"/>
      <c r="JU84" s="30"/>
      <c r="JV84" s="30"/>
      <c r="JW84" s="30"/>
      <c r="JX84" s="30"/>
      <c r="JY84" s="30"/>
      <c r="JZ84" s="30"/>
      <c r="KA84" s="30"/>
      <c r="KB84" s="30"/>
      <c r="KC84" s="30"/>
      <c r="KD84" s="30"/>
      <c r="KE84" s="30"/>
      <c r="KF84" s="30"/>
      <c r="KG84" s="30"/>
      <c r="KH84" s="30"/>
      <c r="KI84" s="30"/>
      <c r="KJ84" s="30"/>
      <c r="KK84" s="31"/>
      <c r="KL84" s="32"/>
      <c r="KM84" s="33"/>
      <c r="KN84" s="30"/>
      <c r="KO84" s="30"/>
      <c r="KP84" s="30"/>
      <c r="KQ84" s="30"/>
      <c r="KR84" s="30"/>
      <c r="KS84" s="30"/>
      <c r="KT84" s="30"/>
      <c r="KU84" s="30"/>
      <c r="KV84" s="30"/>
      <c r="KW84" s="30"/>
      <c r="KX84" s="30"/>
      <c r="KY84" s="30"/>
      <c r="KZ84" s="30"/>
      <c r="LA84" s="30"/>
      <c r="LB84" s="30"/>
      <c r="LC84" s="30"/>
      <c r="LD84" s="30"/>
      <c r="LE84" s="30"/>
      <c r="LF84" s="30"/>
      <c r="LG84" s="30"/>
      <c r="LH84" s="30"/>
      <c r="LI84" s="30"/>
      <c r="LJ84" s="30"/>
      <c r="LK84" s="30"/>
      <c r="LL84" s="30"/>
      <c r="LM84" s="30"/>
      <c r="LN84" s="30"/>
      <c r="LO84" s="30"/>
      <c r="LP84" s="30"/>
      <c r="LQ84" s="30"/>
      <c r="LR84" s="30"/>
      <c r="LS84" s="30"/>
      <c r="LT84" s="30"/>
      <c r="LU84" s="30"/>
      <c r="LV84" s="30"/>
      <c r="LW84" s="30"/>
      <c r="LX84" s="30"/>
      <c r="LY84" s="30"/>
      <c r="LZ84" s="30"/>
      <c r="MA84" s="30"/>
      <c r="MB84" s="30"/>
      <c r="MC84" s="30"/>
      <c r="MD84" s="30"/>
      <c r="ME84" s="30"/>
      <c r="MF84" s="30"/>
      <c r="MG84" s="30"/>
      <c r="MH84" s="34"/>
    </row>
    <row r="85" spans="1:346" ht="21.9" customHeight="1" thickBot="1">
      <c r="A85" s="263"/>
      <c r="B85" s="252">
        <v>7</v>
      </c>
      <c r="C85" s="253" t="s">
        <v>221</v>
      </c>
      <c r="D85" s="242" t="s">
        <v>21</v>
      </c>
      <c r="E85" s="61">
        <v>0</v>
      </c>
      <c r="F85" s="73">
        <f>G83+1</f>
        <v>46134</v>
      </c>
      <c r="G85" s="58">
        <v>46173</v>
      </c>
      <c r="H85" s="56" t="s">
        <v>154</v>
      </c>
      <c r="J85" s="96">
        <f t="shared" si="88"/>
        <v>40</v>
      </c>
      <c r="K85" s="29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1"/>
      <c r="BV85" s="32"/>
      <c r="BW85" s="33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  <c r="GY85" s="30"/>
      <c r="GZ85" s="30"/>
      <c r="HA85" s="30"/>
      <c r="HB85" s="30"/>
      <c r="HC85" s="30"/>
      <c r="HD85" s="30"/>
      <c r="HE85" s="30"/>
      <c r="HF85" s="30"/>
      <c r="HG85" s="30"/>
      <c r="HH85" s="30"/>
      <c r="HI85" s="30"/>
      <c r="HJ85" s="30"/>
      <c r="HK85" s="30"/>
      <c r="HL85" s="30"/>
      <c r="HM85" s="30"/>
      <c r="HN85" s="30"/>
      <c r="HO85" s="30"/>
      <c r="HP85" s="30"/>
      <c r="HQ85" s="30"/>
      <c r="HR85" s="30"/>
      <c r="HS85" s="30"/>
      <c r="HT85" s="30"/>
      <c r="HU85" s="30"/>
      <c r="HV85" s="30"/>
      <c r="HW85" s="30"/>
      <c r="HX85" s="30"/>
      <c r="HY85" s="30"/>
      <c r="HZ85" s="30"/>
      <c r="IA85" s="30"/>
      <c r="IB85" s="30"/>
      <c r="IC85" s="30"/>
      <c r="ID85" s="30"/>
      <c r="IE85" s="30"/>
      <c r="IF85" s="30"/>
      <c r="IG85" s="30"/>
      <c r="IH85" s="30"/>
      <c r="II85" s="30"/>
      <c r="IJ85" s="30"/>
      <c r="IK85" s="30"/>
      <c r="IL85" s="30"/>
      <c r="IM85" s="30"/>
      <c r="IN85" s="30"/>
      <c r="IO85" s="30"/>
      <c r="IP85" s="30"/>
      <c r="IQ85" s="30"/>
      <c r="IR85" s="30"/>
      <c r="IS85" s="30"/>
      <c r="IT85" s="30"/>
      <c r="IU85" s="30"/>
      <c r="IV85" s="30"/>
      <c r="IW85" s="30"/>
      <c r="IX85" s="30"/>
      <c r="IY85" s="30"/>
      <c r="IZ85" s="30"/>
      <c r="JA85" s="30"/>
      <c r="JB85" s="30"/>
      <c r="JC85" s="30"/>
      <c r="JD85" s="30"/>
      <c r="JE85" s="30"/>
      <c r="JF85" s="30"/>
      <c r="JG85" s="30"/>
      <c r="JH85" s="30"/>
      <c r="JI85" s="30"/>
      <c r="JJ85" s="30"/>
      <c r="JK85" s="30"/>
      <c r="JL85" s="30"/>
      <c r="JM85" s="30"/>
      <c r="JN85" s="30"/>
      <c r="JO85" s="30"/>
      <c r="JP85" s="30"/>
      <c r="JQ85" s="30"/>
      <c r="JR85" s="30"/>
      <c r="JS85" s="30"/>
      <c r="JT85" s="30"/>
      <c r="JU85" s="30"/>
      <c r="JV85" s="30"/>
      <c r="JW85" s="30"/>
      <c r="JX85" s="30"/>
      <c r="JY85" s="30"/>
      <c r="JZ85" s="30"/>
      <c r="KA85" s="30"/>
      <c r="KB85" s="30"/>
      <c r="KC85" s="30"/>
      <c r="KD85" s="30"/>
      <c r="KE85" s="30"/>
      <c r="KF85" s="30"/>
      <c r="KG85" s="30"/>
      <c r="KH85" s="30"/>
      <c r="KI85" s="30"/>
      <c r="KJ85" s="30"/>
      <c r="KK85" s="31"/>
      <c r="KL85" s="32"/>
      <c r="KM85" s="33"/>
      <c r="KN85" s="30"/>
      <c r="KO85" s="30"/>
      <c r="KP85" s="30"/>
      <c r="KQ85" s="30"/>
      <c r="KR85" s="30"/>
      <c r="KS85" s="30"/>
      <c r="KT85" s="30"/>
      <c r="KU85" s="30"/>
      <c r="KV85" s="30"/>
      <c r="KW85" s="30"/>
      <c r="KX85" s="30"/>
      <c r="KY85" s="30"/>
      <c r="KZ85" s="30"/>
      <c r="LA85" s="30"/>
      <c r="LB85" s="30"/>
      <c r="LC85" s="30"/>
      <c r="LD85" s="30"/>
      <c r="LE85" s="30"/>
      <c r="LF85" s="30"/>
      <c r="LG85" s="30"/>
      <c r="LH85" s="30"/>
      <c r="LI85" s="30"/>
      <c r="LJ85" s="30"/>
      <c r="LK85" s="30"/>
      <c r="LL85" s="30"/>
      <c r="LM85" s="30"/>
      <c r="LN85" s="30"/>
      <c r="LO85" s="30"/>
      <c r="LP85" s="30"/>
      <c r="LQ85" s="30"/>
      <c r="LR85" s="30"/>
      <c r="LS85" s="30"/>
      <c r="LT85" s="30"/>
      <c r="LU85" s="30"/>
      <c r="LV85" s="30"/>
      <c r="LW85" s="30"/>
      <c r="LX85" s="30"/>
      <c r="LY85" s="30"/>
      <c r="LZ85" s="30"/>
      <c r="MA85" s="30"/>
      <c r="MB85" s="30"/>
      <c r="MC85" s="30"/>
      <c r="MD85" s="30"/>
      <c r="ME85" s="30"/>
      <c r="MF85" s="30"/>
      <c r="MG85" s="30"/>
      <c r="MH85" s="34"/>
    </row>
    <row r="86" spans="1:346" ht="21.9" customHeight="1" thickBot="1">
      <c r="A86" s="263"/>
      <c r="B86" s="252"/>
      <c r="C86" s="253"/>
      <c r="D86" s="242"/>
      <c r="E86" s="61">
        <v>0</v>
      </c>
      <c r="F86" s="73"/>
      <c r="G86" s="58"/>
      <c r="H86" s="69" t="s">
        <v>158</v>
      </c>
      <c r="J86" s="96" t="str">
        <f t="shared" si="88"/>
        <v/>
      </c>
      <c r="K86" s="29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1"/>
      <c r="BV86" s="32"/>
      <c r="BW86" s="33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/>
      <c r="IN86" s="30"/>
      <c r="IO86" s="30"/>
      <c r="IP86" s="30"/>
      <c r="IQ86" s="30"/>
      <c r="IR86" s="30"/>
      <c r="IS86" s="30"/>
      <c r="IT86" s="30"/>
      <c r="IU86" s="30"/>
      <c r="IV86" s="30"/>
      <c r="IW86" s="30"/>
      <c r="IX86" s="30"/>
      <c r="IY86" s="30"/>
      <c r="IZ86" s="30"/>
      <c r="JA86" s="30"/>
      <c r="JB86" s="30"/>
      <c r="JC86" s="30"/>
      <c r="JD86" s="30"/>
      <c r="JE86" s="30"/>
      <c r="JF86" s="30"/>
      <c r="JG86" s="30"/>
      <c r="JH86" s="30"/>
      <c r="JI86" s="30"/>
      <c r="JJ86" s="30"/>
      <c r="JK86" s="30"/>
      <c r="JL86" s="30"/>
      <c r="JM86" s="30"/>
      <c r="JN86" s="30"/>
      <c r="JO86" s="30"/>
      <c r="JP86" s="30"/>
      <c r="JQ86" s="30"/>
      <c r="JR86" s="30"/>
      <c r="JS86" s="30"/>
      <c r="JT86" s="30"/>
      <c r="JU86" s="30"/>
      <c r="JV86" s="30"/>
      <c r="JW86" s="30"/>
      <c r="JX86" s="30"/>
      <c r="JY86" s="30"/>
      <c r="JZ86" s="30"/>
      <c r="KA86" s="30"/>
      <c r="KB86" s="30"/>
      <c r="KC86" s="30"/>
      <c r="KD86" s="30"/>
      <c r="KE86" s="30"/>
      <c r="KF86" s="30"/>
      <c r="KG86" s="30"/>
      <c r="KH86" s="30"/>
      <c r="KI86" s="30"/>
      <c r="KJ86" s="30"/>
      <c r="KK86" s="31"/>
      <c r="KL86" s="32"/>
      <c r="KM86" s="33"/>
      <c r="KN86" s="30"/>
      <c r="KO86" s="30"/>
      <c r="KP86" s="30"/>
      <c r="KQ86" s="30"/>
      <c r="KR86" s="30"/>
      <c r="KS86" s="30"/>
      <c r="KT86" s="30"/>
      <c r="KU86" s="30"/>
      <c r="KV86" s="30"/>
      <c r="KW86" s="30"/>
      <c r="KX86" s="30"/>
      <c r="KY86" s="30"/>
      <c r="KZ86" s="30"/>
      <c r="LA86" s="30"/>
      <c r="LB86" s="30"/>
      <c r="LC86" s="30"/>
      <c r="LD86" s="30"/>
      <c r="LE86" s="30"/>
      <c r="LF86" s="30"/>
      <c r="LG86" s="30"/>
      <c r="LH86" s="30"/>
      <c r="LI86" s="30"/>
      <c r="LJ86" s="30"/>
      <c r="LK86" s="30"/>
      <c r="LL86" s="30"/>
      <c r="LM86" s="30"/>
      <c r="LN86" s="30"/>
      <c r="LO86" s="30"/>
      <c r="LP86" s="30"/>
      <c r="LQ86" s="30"/>
      <c r="LR86" s="30"/>
      <c r="LS86" s="30"/>
      <c r="LT86" s="30"/>
      <c r="LU86" s="30"/>
      <c r="LV86" s="30"/>
      <c r="LW86" s="30"/>
      <c r="LX86" s="30"/>
      <c r="LY86" s="30"/>
      <c r="LZ86" s="30"/>
      <c r="MA86" s="30"/>
      <c r="MB86" s="30"/>
      <c r="MC86" s="30"/>
      <c r="MD86" s="30"/>
      <c r="ME86" s="30"/>
      <c r="MF86" s="30"/>
      <c r="MG86" s="30"/>
      <c r="MH86" s="34"/>
    </row>
    <row r="87" spans="1:346" ht="21.75" customHeight="1" thickBot="1">
      <c r="A87" s="263"/>
      <c r="B87" s="252">
        <v>8</v>
      </c>
      <c r="C87" s="253" t="s">
        <v>222</v>
      </c>
      <c r="D87" s="243" t="s">
        <v>223</v>
      </c>
      <c r="E87" s="61">
        <v>0</v>
      </c>
      <c r="F87" s="73">
        <f>G85+1</f>
        <v>46174</v>
      </c>
      <c r="G87" s="58"/>
      <c r="H87" s="56" t="s">
        <v>154</v>
      </c>
      <c r="J87" s="96" t="str">
        <f t="shared" si="88"/>
        <v/>
      </c>
      <c r="K87" s="29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1"/>
      <c r="BV87" s="32"/>
      <c r="BW87" s="33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30"/>
      <c r="GX87" s="30"/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30"/>
      <c r="HJ87" s="30"/>
      <c r="HK87" s="30"/>
      <c r="HL87" s="30"/>
      <c r="HM87" s="30"/>
      <c r="HN87" s="30"/>
      <c r="HO87" s="30"/>
      <c r="HP87" s="30"/>
      <c r="HQ87" s="30"/>
      <c r="HR87" s="30"/>
      <c r="HS87" s="30"/>
      <c r="HT87" s="30"/>
      <c r="HU87" s="30"/>
      <c r="HV87" s="30"/>
      <c r="HW87" s="30"/>
      <c r="HX87" s="30"/>
      <c r="HY87" s="30"/>
      <c r="HZ87" s="30"/>
      <c r="IA87" s="30"/>
      <c r="IB87" s="30"/>
      <c r="IC87" s="30"/>
      <c r="ID87" s="30"/>
      <c r="IE87" s="30"/>
      <c r="IF87" s="30"/>
      <c r="IG87" s="30"/>
      <c r="IH87" s="30"/>
      <c r="II87" s="30"/>
      <c r="IJ87" s="30"/>
      <c r="IK87" s="30"/>
      <c r="IL87" s="30"/>
      <c r="IM87" s="30"/>
      <c r="IN87" s="30"/>
      <c r="IO87" s="30"/>
      <c r="IP87" s="30"/>
      <c r="IQ87" s="30"/>
      <c r="IR87" s="30"/>
      <c r="IS87" s="30"/>
      <c r="IT87" s="30"/>
      <c r="IU87" s="30"/>
      <c r="IV87" s="30"/>
      <c r="IW87" s="30"/>
      <c r="IX87" s="30"/>
      <c r="IY87" s="30"/>
      <c r="IZ87" s="30"/>
      <c r="JA87" s="30"/>
      <c r="JB87" s="30"/>
      <c r="JC87" s="30"/>
      <c r="JD87" s="30"/>
      <c r="JE87" s="30"/>
      <c r="JF87" s="30"/>
      <c r="JG87" s="30"/>
      <c r="JH87" s="30"/>
      <c r="JI87" s="30"/>
      <c r="JJ87" s="30"/>
      <c r="JK87" s="30"/>
      <c r="JL87" s="30"/>
      <c r="JM87" s="30"/>
      <c r="JN87" s="30"/>
      <c r="JO87" s="30"/>
      <c r="JP87" s="30"/>
      <c r="JQ87" s="30"/>
      <c r="JR87" s="30"/>
      <c r="JS87" s="30"/>
      <c r="JT87" s="30"/>
      <c r="JU87" s="30"/>
      <c r="JV87" s="30"/>
      <c r="JW87" s="30"/>
      <c r="JX87" s="30"/>
      <c r="JY87" s="30"/>
      <c r="JZ87" s="30"/>
      <c r="KA87" s="30"/>
      <c r="KB87" s="30"/>
      <c r="KC87" s="30"/>
      <c r="KD87" s="30"/>
      <c r="KE87" s="30"/>
      <c r="KF87" s="30"/>
      <c r="KG87" s="30"/>
      <c r="KH87" s="30"/>
      <c r="KI87" s="30"/>
      <c r="KJ87" s="30"/>
      <c r="KK87" s="31"/>
      <c r="KL87" s="32"/>
      <c r="KM87" s="33"/>
      <c r="KN87" s="30"/>
      <c r="KO87" s="30"/>
      <c r="KP87" s="30"/>
      <c r="KQ87" s="30"/>
      <c r="KR87" s="30"/>
      <c r="KS87" s="30"/>
      <c r="KT87" s="30"/>
      <c r="KU87" s="30"/>
      <c r="KV87" s="30"/>
      <c r="KW87" s="30"/>
      <c r="KX87" s="30"/>
      <c r="KY87" s="30"/>
      <c r="KZ87" s="30"/>
      <c r="LA87" s="30"/>
      <c r="LB87" s="30"/>
      <c r="LC87" s="30"/>
      <c r="LD87" s="30"/>
      <c r="LE87" s="30"/>
      <c r="LF87" s="30"/>
      <c r="LG87" s="30"/>
      <c r="LH87" s="30"/>
      <c r="LI87" s="30"/>
      <c r="LJ87" s="30"/>
      <c r="LK87" s="30"/>
      <c r="LL87" s="30"/>
      <c r="LM87" s="30"/>
      <c r="LN87" s="30"/>
      <c r="LO87" s="30"/>
      <c r="LP87" s="30"/>
      <c r="LQ87" s="30"/>
      <c r="LR87" s="30"/>
      <c r="LS87" s="30"/>
      <c r="LT87" s="30"/>
      <c r="LU87" s="30"/>
      <c r="LV87" s="30"/>
      <c r="LW87" s="30"/>
      <c r="LX87" s="30"/>
      <c r="LY87" s="30"/>
      <c r="LZ87" s="30"/>
      <c r="MA87" s="30"/>
      <c r="MB87" s="30"/>
      <c r="MC87" s="30"/>
      <c r="MD87" s="30"/>
      <c r="ME87" s="30"/>
      <c r="MF87" s="30"/>
      <c r="MG87" s="30"/>
      <c r="MH87" s="34"/>
    </row>
    <row r="88" spans="1:346" ht="21.75" customHeight="1" thickBot="1">
      <c r="A88" s="264"/>
      <c r="B88" s="254"/>
      <c r="C88" s="255"/>
      <c r="D88" s="244"/>
      <c r="E88" s="64">
        <v>0</v>
      </c>
      <c r="F88" s="75"/>
      <c r="G88" s="76"/>
      <c r="H88" s="69" t="s">
        <v>158</v>
      </c>
      <c r="I88" s="97"/>
      <c r="J88" s="98" t="str">
        <f t="shared" si="88"/>
        <v/>
      </c>
      <c r="K88" s="42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4"/>
      <c r="BV88" s="45"/>
      <c r="BW88" s="46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  <c r="IU88" s="43"/>
      <c r="IV88" s="43"/>
      <c r="IW88" s="43"/>
      <c r="IX88" s="43"/>
      <c r="IY88" s="43"/>
      <c r="IZ88" s="43"/>
      <c r="JA88" s="43"/>
      <c r="JB88" s="43"/>
      <c r="JC88" s="43"/>
      <c r="JD88" s="43"/>
      <c r="JE88" s="43"/>
      <c r="JF88" s="43"/>
      <c r="JG88" s="43"/>
      <c r="JH88" s="43"/>
      <c r="JI88" s="43"/>
      <c r="JJ88" s="43"/>
      <c r="JK88" s="43"/>
      <c r="JL88" s="43"/>
      <c r="JM88" s="43"/>
      <c r="JN88" s="43"/>
      <c r="JO88" s="43"/>
      <c r="JP88" s="43"/>
      <c r="JQ88" s="43"/>
      <c r="JR88" s="43"/>
      <c r="JS88" s="43"/>
      <c r="JT88" s="43"/>
      <c r="JU88" s="43"/>
      <c r="JV88" s="43"/>
      <c r="JW88" s="43"/>
      <c r="JX88" s="43"/>
      <c r="JY88" s="43"/>
      <c r="JZ88" s="43"/>
      <c r="KA88" s="43"/>
      <c r="KB88" s="43"/>
      <c r="KC88" s="43"/>
      <c r="KD88" s="43"/>
      <c r="KE88" s="43"/>
      <c r="KF88" s="43"/>
      <c r="KG88" s="43"/>
      <c r="KH88" s="43"/>
      <c r="KI88" s="43"/>
      <c r="KJ88" s="43"/>
      <c r="KK88" s="44"/>
      <c r="KL88" s="45"/>
      <c r="KM88" s="46"/>
      <c r="KN88" s="43"/>
      <c r="KO88" s="43"/>
      <c r="KP88" s="43"/>
      <c r="KQ88" s="43"/>
      <c r="KR88" s="43"/>
      <c r="KS88" s="43"/>
      <c r="KT88" s="43"/>
      <c r="KU88" s="43"/>
      <c r="KV88" s="43"/>
      <c r="KW88" s="43"/>
      <c r="KX88" s="43"/>
      <c r="KY88" s="43"/>
      <c r="KZ88" s="43"/>
      <c r="LA88" s="43"/>
      <c r="LB88" s="43"/>
      <c r="LC88" s="43"/>
      <c r="LD88" s="43"/>
      <c r="LE88" s="43"/>
      <c r="LF88" s="43"/>
      <c r="LG88" s="43"/>
      <c r="LH88" s="43"/>
      <c r="LI88" s="43"/>
      <c r="LJ88" s="43"/>
      <c r="LK88" s="43"/>
      <c r="LL88" s="43"/>
      <c r="LM88" s="43"/>
      <c r="LN88" s="43"/>
      <c r="LO88" s="43"/>
      <c r="LP88" s="43"/>
      <c r="LQ88" s="43"/>
      <c r="LR88" s="43"/>
      <c r="LS88" s="43"/>
      <c r="LT88" s="43"/>
      <c r="LU88" s="43"/>
      <c r="LV88" s="43"/>
      <c r="LW88" s="43"/>
      <c r="LX88" s="43"/>
      <c r="LY88" s="43"/>
      <c r="LZ88" s="43"/>
      <c r="MA88" s="43"/>
      <c r="MB88" s="43"/>
      <c r="MC88" s="43"/>
      <c r="MD88" s="43"/>
      <c r="ME88" s="43"/>
      <c r="MF88" s="43"/>
      <c r="MG88" s="43"/>
      <c r="MH88" s="47"/>
    </row>
  </sheetData>
  <mergeCells count="185">
    <mergeCell ref="B13:B14"/>
    <mergeCell ref="C13:C14"/>
    <mergeCell ref="D13:D14"/>
    <mergeCell ref="B11:B12"/>
    <mergeCell ref="C11:C12"/>
    <mergeCell ref="D11:D12"/>
    <mergeCell ref="F2:G2"/>
    <mergeCell ref="F3:G3"/>
    <mergeCell ref="K4:Q4"/>
    <mergeCell ref="K2:O2"/>
    <mergeCell ref="K3:O3"/>
    <mergeCell ref="P2:T2"/>
    <mergeCell ref="P3:T3"/>
    <mergeCell ref="C9:C10"/>
    <mergeCell ref="D9:D10"/>
    <mergeCell ref="B9:B10"/>
    <mergeCell ref="R4:X4"/>
    <mergeCell ref="LU4:MA4"/>
    <mergeCell ref="LN4:LT4"/>
    <mergeCell ref="DL4:DR4"/>
    <mergeCell ref="CQ4:CW4"/>
    <mergeCell ref="DE4:DK4"/>
    <mergeCell ref="AF4:AL4"/>
    <mergeCell ref="AM4:AS4"/>
    <mergeCell ref="AT4:AZ4"/>
    <mergeCell ref="BA4:BG4"/>
    <mergeCell ref="BH4:BN4"/>
    <mergeCell ref="BO4:BU4"/>
    <mergeCell ref="HT4:HZ4"/>
    <mergeCell ref="MB4:MH4"/>
    <mergeCell ref="MI4:MO4"/>
    <mergeCell ref="A6:B6"/>
    <mergeCell ref="B7:B8"/>
    <mergeCell ref="C7:C8"/>
    <mergeCell ref="D7:D8"/>
    <mergeCell ref="JX4:KD4"/>
    <mergeCell ref="KE4:KK4"/>
    <mergeCell ref="KL4:KR4"/>
    <mergeCell ref="KS4:KY4"/>
    <mergeCell ref="KZ4:LF4"/>
    <mergeCell ref="LG4:LM4"/>
    <mergeCell ref="IH4:IN4"/>
    <mergeCell ref="IO4:IU4"/>
    <mergeCell ref="IV4:JB4"/>
    <mergeCell ref="JC4:JI4"/>
    <mergeCell ref="JJ4:JP4"/>
    <mergeCell ref="JQ4:JW4"/>
    <mergeCell ref="A7:A36"/>
    <mergeCell ref="C29:C30"/>
    <mergeCell ref="D29:D30"/>
    <mergeCell ref="GR4:GX4"/>
    <mergeCell ref="GY4:HE4"/>
    <mergeCell ref="HF4:HL4"/>
    <mergeCell ref="C31:C32"/>
    <mergeCell ref="D31:D32"/>
    <mergeCell ref="B29:B30"/>
    <mergeCell ref="IA4:IG4"/>
    <mergeCell ref="FB4:FH4"/>
    <mergeCell ref="FI4:FO4"/>
    <mergeCell ref="FP4:FV4"/>
    <mergeCell ref="FW4:GC4"/>
    <mergeCell ref="GD4:GJ4"/>
    <mergeCell ref="GK4:GQ4"/>
    <mergeCell ref="HM4:HS4"/>
    <mergeCell ref="B17:B18"/>
    <mergeCell ref="C17:C18"/>
    <mergeCell ref="D17:D18"/>
    <mergeCell ref="DS4:DY4"/>
    <mergeCell ref="DZ4:EF4"/>
    <mergeCell ref="EG4:EM4"/>
    <mergeCell ref="EN4:ET4"/>
    <mergeCell ref="EU4:FA4"/>
    <mergeCell ref="BV4:CB4"/>
    <mergeCell ref="CX4:DD4"/>
    <mergeCell ref="Y4:AE4"/>
    <mergeCell ref="CC4:CI4"/>
    <mergeCell ref="CJ4:CP4"/>
    <mergeCell ref="A37:A56"/>
    <mergeCell ref="B39:B40"/>
    <mergeCell ref="C39:C40"/>
    <mergeCell ref="D39:D40"/>
    <mergeCell ref="B41:B42"/>
    <mergeCell ref="B19:B20"/>
    <mergeCell ref="C19:C20"/>
    <mergeCell ref="D19:D20"/>
    <mergeCell ref="C23:C24"/>
    <mergeCell ref="D23:D24"/>
    <mergeCell ref="B23:B24"/>
    <mergeCell ref="D37:D38"/>
    <mergeCell ref="B37:B38"/>
    <mergeCell ref="C37:C38"/>
    <mergeCell ref="B21:B22"/>
    <mergeCell ref="C21:C22"/>
    <mergeCell ref="D21:D22"/>
    <mergeCell ref="B25:B26"/>
    <mergeCell ref="C25:C26"/>
    <mergeCell ref="D25:D26"/>
    <mergeCell ref="B27:B28"/>
    <mergeCell ref="B35:B36"/>
    <mergeCell ref="C35:C36"/>
    <mergeCell ref="D35:D36"/>
    <mergeCell ref="D47:D48"/>
    <mergeCell ref="B49:B50"/>
    <mergeCell ref="C49:C50"/>
    <mergeCell ref="D49:D50"/>
    <mergeCell ref="K1:T1"/>
    <mergeCell ref="D81:D82"/>
    <mergeCell ref="D75:D76"/>
    <mergeCell ref="D77:D78"/>
    <mergeCell ref="D79:D80"/>
    <mergeCell ref="D73:D74"/>
    <mergeCell ref="D71:D72"/>
    <mergeCell ref="D67:D68"/>
    <mergeCell ref="D69:D70"/>
    <mergeCell ref="D65:D66"/>
    <mergeCell ref="B65:B66"/>
    <mergeCell ref="C65:C66"/>
    <mergeCell ref="B67:B68"/>
    <mergeCell ref="C67:C68"/>
    <mergeCell ref="D63:D64"/>
    <mergeCell ref="D57:D58"/>
    <mergeCell ref="D59:D60"/>
    <mergeCell ref="D61:D62"/>
    <mergeCell ref="D27:D28"/>
    <mergeCell ref="C27:C28"/>
    <mergeCell ref="A81:A88"/>
    <mergeCell ref="B61:B62"/>
    <mergeCell ref="C61:C62"/>
    <mergeCell ref="B63:B64"/>
    <mergeCell ref="C63:C64"/>
    <mergeCell ref="B69:B70"/>
    <mergeCell ref="C69:C70"/>
    <mergeCell ref="B71:B72"/>
    <mergeCell ref="C71:C72"/>
    <mergeCell ref="B73:B74"/>
    <mergeCell ref="C73:C74"/>
    <mergeCell ref="A57:A68"/>
    <mergeCell ref="B31:B32"/>
    <mergeCell ref="B43:B44"/>
    <mergeCell ref="C43:C44"/>
    <mergeCell ref="D43:D44"/>
    <mergeCell ref="B75:B76"/>
    <mergeCell ref="C75:C76"/>
    <mergeCell ref="A69:A80"/>
    <mergeCell ref="B57:B58"/>
    <mergeCell ref="C57:C58"/>
    <mergeCell ref="B53:B54"/>
    <mergeCell ref="C53:C54"/>
    <mergeCell ref="D53:D54"/>
    <mergeCell ref="B59:B60"/>
    <mergeCell ref="C59:C60"/>
    <mergeCell ref="C41:C42"/>
    <mergeCell ref="D41:D42"/>
    <mergeCell ref="B45:B46"/>
    <mergeCell ref="C45:C46"/>
    <mergeCell ref="D45:D46"/>
    <mergeCell ref="B51:B52"/>
    <mergeCell ref="C51:C52"/>
    <mergeCell ref="D55:D56"/>
    <mergeCell ref="B47:B48"/>
    <mergeCell ref="C47:C48"/>
    <mergeCell ref="D15:D16"/>
    <mergeCell ref="C15:C16"/>
    <mergeCell ref="B15:B16"/>
    <mergeCell ref="B33:B34"/>
    <mergeCell ref="C33:C34"/>
    <mergeCell ref="D33:D34"/>
    <mergeCell ref="D83:D84"/>
    <mergeCell ref="D85:D86"/>
    <mergeCell ref="D87:D88"/>
    <mergeCell ref="B77:B78"/>
    <mergeCell ref="C77:C78"/>
    <mergeCell ref="B79:B80"/>
    <mergeCell ref="C79:C80"/>
    <mergeCell ref="B81:B82"/>
    <mergeCell ref="C81:C82"/>
    <mergeCell ref="B83:B84"/>
    <mergeCell ref="C83:C84"/>
    <mergeCell ref="B85:B86"/>
    <mergeCell ref="C85:C86"/>
    <mergeCell ref="B87:B88"/>
    <mergeCell ref="C87:C88"/>
    <mergeCell ref="D51:D52"/>
    <mergeCell ref="B55:B56"/>
    <mergeCell ref="C55:C56"/>
  </mergeCells>
  <conditionalFormatting sqref="E7:E88">
    <cfRule type="dataBar" priority="20">
      <dataBar>
        <cfvo type="num" val="0"/>
        <cfvo type="num" val="1"/>
        <color rgb="FF00CC66"/>
      </dataBar>
      <extLst>
        <ext xmlns:x14="http://schemas.microsoft.com/office/spreadsheetml/2009/9/main" uri="{B025F937-C7B1-47D3-B67F-A62EFF666E3E}">
          <x14:id>{95C40421-F229-4801-BDE2-EAAC65A615FA}</x14:id>
        </ext>
      </extLst>
    </cfRule>
  </conditionalFormatting>
  <conditionalFormatting sqref="E33:E34">
    <cfRule type="dataBar" priority="4">
      <dataBar>
        <cfvo type="num" val="0"/>
        <cfvo type="num" val="1"/>
        <color rgb="FF00CC66"/>
      </dataBar>
      <extLst>
        <ext xmlns:x14="http://schemas.microsoft.com/office/spreadsheetml/2009/9/main" uri="{B025F937-C7B1-47D3-B67F-A62EFF666E3E}">
          <x14:id>{8BF289E0-D411-43A4-BC5A-3DED2A687E48}</x14:id>
        </ext>
      </extLst>
    </cfRule>
  </conditionalFormatting>
  <conditionalFormatting sqref="K5:MH88">
    <cfRule type="expression" dxfId="2" priority="3">
      <formula>AND(today&gt;=K$5,today&lt;K$5+1)</formula>
    </cfRule>
  </conditionalFormatting>
  <conditionalFormatting sqref="K7:MH88">
    <cfRule type="expression" dxfId="1" priority="1">
      <formula>AND(task_start&lt;=K$5,ROUNDDOWN((task_end-task_start+1)*task_progress,0)+task_start-1&gt;=K$5)</formula>
    </cfRule>
    <cfRule type="expression" dxfId="0" priority="2" stopIfTrue="1">
      <formula>AND(task_end&gt;=K$5,task_start&lt;K$5+1)</formula>
    </cfRule>
  </conditionalFormatting>
  <dataValidations disablePrompts="1" count="1">
    <dataValidation type="whole" operator="greaterThanOrEqual" allowBlank="1" showInputMessage="1" promptTitle="Display Week" prompt="Changing this number will scroll the Gantt Chart view." sqref="F4" xr:uid="{00000000-0002-0000-0100-000000000000}">
      <formula1>1</formula1>
    </dataValidation>
  </dataValidations>
  <pageMargins left="0.35433070866141736" right="0.35433070866141736" top="0.35433070866141736" bottom="0.51181102362204722" header="0.31496062992125984" footer="0.31496062992125984"/>
  <pageSetup paperSize="8" scale="42" orientation="landscape" r:id="rId1"/>
  <headerFooter scaleWithDoc="0"/>
  <ignoredErrors>
    <ignoredError sqref="B25 B29 B31" numberStoredAsText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C40421-F229-4801-BDE2-EAAC65A615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E7:E88</xm:sqref>
        </x14:conditionalFormatting>
        <x14:conditionalFormatting xmlns:xm="http://schemas.microsoft.com/office/excel/2006/main">
          <x14:cfRule type="dataBar" id="{8BF289E0-D411-43A4-BC5A-3DED2A687E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E33:E34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DAC0-DDF4-4690-B237-B14FC7C3AB39}">
  <dimension ref="A1:S83"/>
  <sheetViews>
    <sheetView tabSelected="1" topLeftCell="A2" zoomScale="70" zoomScaleNormal="70" zoomScaleSheetLayoutView="70" workbookViewId="0">
      <selection activeCell="L4" sqref="L4"/>
    </sheetView>
  </sheetViews>
  <sheetFormatPr defaultColWidth="8.6328125" defaultRowHeight="15" customHeight="1"/>
  <cols>
    <col min="1" max="1" width="2.90625" style="141" customWidth="1"/>
    <col min="2" max="2" width="5.453125" style="141" customWidth="1"/>
    <col min="3" max="3" width="52.36328125" style="142" customWidth="1"/>
    <col min="4" max="4" width="12.08984375" style="143" customWidth="1"/>
    <col min="5" max="5" width="11.54296875" style="143" customWidth="1"/>
    <col min="6" max="7" width="10.54296875" style="143" customWidth="1"/>
    <col min="8" max="8" width="17" style="141" customWidth="1"/>
    <col min="9" max="9" width="14.1796875" style="141" bestFit="1" customWidth="1"/>
    <col min="10" max="11" width="16.36328125" style="141" customWidth="1"/>
    <col min="12" max="12" width="16.08984375" style="141" customWidth="1"/>
    <col min="13" max="13" width="32" style="141" bestFit="1" customWidth="1"/>
    <col min="14" max="14" width="18.36328125" style="144" customWidth="1"/>
    <col min="15" max="15" width="18.08984375" style="144" customWidth="1"/>
    <col min="16" max="16" width="12.36328125" style="141" customWidth="1"/>
    <col min="17" max="17" width="15.36328125" style="141" customWidth="1"/>
    <col min="18" max="18" width="23.81640625" style="144" customWidth="1"/>
    <col min="19" max="19" width="45.54296875" style="141" bestFit="1" customWidth="1"/>
    <col min="20" max="21" width="5.08984375" style="141" customWidth="1"/>
    <col min="22" max="22" width="22.90625" style="141" customWidth="1"/>
    <col min="23" max="23" width="22.08984375" style="141" customWidth="1"/>
    <col min="24" max="16384" width="8.6328125" style="141"/>
  </cols>
  <sheetData>
    <row r="1" spans="2:19" ht="15" customHeight="1" thickBot="1"/>
    <row r="2" spans="2:19" ht="33" customHeight="1">
      <c r="B2" s="312" t="s">
        <v>224</v>
      </c>
      <c r="C2" s="312"/>
      <c r="D2" s="312"/>
      <c r="E2" s="312"/>
      <c r="F2" s="312"/>
      <c r="G2" s="312"/>
      <c r="H2" s="313"/>
      <c r="I2" s="210"/>
      <c r="J2" s="180"/>
      <c r="K2" s="180"/>
      <c r="L2" s="181"/>
      <c r="M2" s="181"/>
      <c r="N2" s="180"/>
      <c r="O2" s="316"/>
      <c r="P2" s="317"/>
      <c r="Q2" s="317"/>
      <c r="R2" s="317"/>
      <c r="S2" s="318"/>
    </row>
    <row r="3" spans="2:19" ht="33" customHeight="1">
      <c r="B3" s="314"/>
      <c r="C3" s="314"/>
      <c r="D3" s="314"/>
      <c r="E3" s="314"/>
      <c r="F3" s="314"/>
      <c r="G3" s="314"/>
      <c r="H3" s="315"/>
      <c r="I3" s="195"/>
      <c r="J3" s="196"/>
      <c r="K3" s="196"/>
      <c r="L3" s="197"/>
      <c r="M3" s="197"/>
      <c r="N3" s="196"/>
      <c r="O3" s="319"/>
      <c r="P3" s="314"/>
      <c r="Q3" s="314"/>
      <c r="R3" s="314"/>
      <c r="S3" s="320"/>
    </row>
    <row r="4" spans="2:19" s="145" customFormat="1" ht="87" customHeight="1">
      <c r="B4" s="168" t="s">
        <v>225</v>
      </c>
      <c r="C4" s="146" t="s">
        <v>226</v>
      </c>
      <c r="D4" s="146" t="s">
        <v>390</v>
      </c>
      <c r="E4" s="146" t="s">
        <v>351</v>
      </c>
      <c r="F4" s="146" t="s">
        <v>353</v>
      </c>
      <c r="G4" s="146" t="s">
        <v>388</v>
      </c>
      <c r="H4" s="146" t="s">
        <v>227</v>
      </c>
      <c r="I4" s="146" t="s">
        <v>389</v>
      </c>
      <c r="J4" s="146" t="s">
        <v>228</v>
      </c>
      <c r="K4" s="146" t="s">
        <v>298</v>
      </c>
      <c r="L4" s="146" t="s">
        <v>229</v>
      </c>
      <c r="M4" s="146" t="s">
        <v>230</v>
      </c>
      <c r="N4" s="147" t="s">
        <v>231</v>
      </c>
      <c r="O4" s="147" t="s">
        <v>232</v>
      </c>
      <c r="P4" s="146" t="s">
        <v>233</v>
      </c>
      <c r="Q4" s="146" t="s">
        <v>234</v>
      </c>
      <c r="R4" s="147" t="s">
        <v>235</v>
      </c>
      <c r="S4" s="168" t="s">
        <v>236</v>
      </c>
    </row>
    <row r="5" spans="2:19" ht="14.5">
      <c r="B5" s="169">
        <v>1</v>
      </c>
      <c r="C5" s="189" t="s">
        <v>347</v>
      </c>
      <c r="D5" s="149"/>
      <c r="E5" s="150">
        <v>12</v>
      </c>
      <c r="F5" s="150">
        <v>12</v>
      </c>
      <c r="G5" s="150">
        <f t="shared" ref="G5:G36" si="0">E5-F5</f>
        <v>0</v>
      </c>
      <c r="H5" s="151" t="s">
        <v>242</v>
      </c>
      <c r="I5" s="151">
        <v>43000000</v>
      </c>
      <c r="J5" s="151" t="s">
        <v>83</v>
      </c>
      <c r="K5" s="152" t="s">
        <v>243</v>
      </c>
      <c r="L5" s="153">
        <f>N5-5</f>
        <v>45976</v>
      </c>
      <c r="M5" s="177" t="s">
        <v>239</v>
      </c>
      <c r="N5" s="153">
        <f>O5-5</f>
        <v>45981</v>
      </c>
      <c r="O5" s="153">
        <f>+Q5-(P5*7)</f>
        <v>45986</v>
      </c>
      <c r="P5" s="151">
        <v>8</v>
      </c>
      <c r="Q5" s="175">
        <v>46042</v>
      </c>
      <c r="R5" s="175">
        <v>46042</v>
      </c>
      <c r="S5" s="151"/>
    </row>
    <row r="6" spans="2:19" ht="14.9" customHeight="1">
      <c r="B6" s="169">
        <v>2</v>
      </c>
      <c r="C6" s="148" t="s">
        <v>322</v>
      </c>
      <c r="D6" s="149"/>
      <c r="E6" s="150">
        <v>116</v>
      </c>
      <c r="F6" s="150">
        <v>116</v>
      </c>
      <c r="G6" s="150">
        <f t="shared" si="0"/>
        <v>0</v>
      </c>
      <c r="H6" s="151" t="s">
        <v>242</v>
      </c>
      <c r="I6" s="151">
        <v>8297016</v>
      </c>
      <c r="J6" s="151" t="s">
        <v>76</v>
      </c>
      <c r="K6" s="214" t="s">
        <v>276</v>
      </c>
      <c r="L6" s="153">
        <f t="shared" ref="L6:L69" si="1">N6-5</f>
        <v>45974</v>
      </c>
      <c r="M6" s="209" t="s">
        <v>346</v>
      </c>
      <c r="N6" s="153">
        <f t="shared" ref="N6:N69" si="2">O6-5</f>
        <v>45979</v>
      </c>
      <c r="O6" s="153">
        <f t="shared" ref="O6:O7" si="3">+Q6-(P6*7)</f>
        <v>45984</v>
      </c>
      <c r="P6" s="151">
        <v>12</v>
      </c>
      <c r="Q6" s="153">
        <v>46068</v>
      </c>
      <c r="R6" s="153"/>
      <c r="S6" s="151"/>
    </row>
    <row r="7" spans="2:19" ht="14.5">
      <c r="B7" s="169">
        <v>3</v>
      </c>
      <c r="C7" s="148" t="s">
        <v>324</v>
      </c>
      <c r="D7" s="149"/>
      <c r="E7" s="150">
        <v>2</v>
      </c>
      <c r="F7" s="150">
        <v>2</v>
      </c>
      <c r="G7" s="150">
        <f t="shared" si="0"/>
        <v>0</v>
      </c>
      <c r="H7" s="151" t="s">
        <v>325</v>
      </c>
      <c r="I7" s="151">
        <v>540000</v>
      </c>
      <c r="J7" s="151" t="s">
        <v>76</v>
      </c>
      <c r="K7" s="152" t="s">
        <v>238</v>
      </c>
      <c r="L7" s="153">
        <f t="shared" si="1"/>
        <v>45993</v>
      </c>
      <c r="M7" s="209" t="s">
        <v>346</v>
      </c>
      <c r="N7" s="153">
        <f t="shared" si="2"/>
        <v>45998</v>
      </c>
      <c r="O7" s="153">
        <f t="shared" si="3"/>
        <v>46003</v>
      </c>
      <c r="P7" s="151">
        <v>10</v>
      </c>
      <c r="Q7" s="191">
        <v>46073</v>
      </c>
      <c r="R7" s="153"/>
      <c r="S7" s="151"/>
    </row>
    <row r="8" spans="2:19" ht="14.9" customHeight="1">
      <c r="B8" s="169">
        <v>4</v>
      </c>
      <c r="C8" s="200" t="s">
        <v>379</v>
      </c>
      <c r="D8" s="149"/>
      <c r="E8" s="150">
        <v>80</v>
      </c>
      <c r="F8" s="150">
        <v>64</v>
      </c>
      <c r="G8" s="150">
        <f t="shared" si="0"/>
        <v>16</v>
      </c>
      <c r="H8" s="198" t="s">
        <v>378</v>
      </c>
      <c r="I8" s="198">
        <v>616000</v>
      </c>
      <c r="J8" s="151" t="s">
        <v>303</v>
      </c>
      <c r="K8" s="214" t="s">
        <v>276</v>
      </c>
      <c r="L8" s="153">
        <f t="shared" si="1"/>
        <v>45962</v>
      </c>
      <c r="M8" s="177" t="s">
        <v>239</v>
      </c>
      <c r="N8" s="153">
        <f t="shared" si="2"/>
        <v>45967</v>
      </c>
      <c r="O8" s="153">
        <f>+Q8-(P8*7)</f>
        <v>45972</v>
      </c>
      <c r="P8" s="151">
        <v>10</v>
      </c>
      <c r="Q8" s="154">
        <v>46042</v>
      </c>
      <c r="R8" s="153">
        <v>46037</v>
      </c>
      <c r="S8" s="151"/>
    </row>
    <row r="9" spans="2:19" ht="14.9" customHeight="1">
      <c r="B9" s="169">
        <v>5</v>
      </c>
      <c r="C9" s="193" t="s">
        <v>352</v>
      </c>
      <c r="D9" s="149"/>
      <c r="E9" s="150">
        <v>236</v>
      </c>
      <c r="F9" s="150">
        <v>0</v>
      </c>
      <c r="G9" s="150">
        <f t="shared" si="0"/>
        <v>236</v>
      </c>
      <c r="H9" s="151" t="s">
        <v>317</v>
      </c>
      <c r="I9" s="151">
        <v>1688889</v>
      </c>
      <c r="J9" s="151" t="s">
        <v>318</v>
      </c>
      <c r="K9" s="214" t="s">
        <v>276</v>
      </c>
      <c r="L9" s="153">
        <f t="shared" si="1"/>
        <v>45986</v>
      </c>
      <c r="M9" s="206" t="s">
        <v>295</v>
      </c>
      <c r="N9" s="153">
        <f t="shared" si="2"/>
        <v>45991</v>
      </c>
      <c r="O9" s="153">
        <f>+Q9-(P9*7)</f>
        <v>45996</v>
      </c>
      <c r="P9" s="151">
        <v>8</v>
      </c>
      <c r="Q9" s="153">
        <v>46052</v>
      </c>
      <c r="R9" s="175">
        <v>46042</v>
      </c>
      <c r="S9" s="151"/>
    </row>
    <row r="10" spans="2:19" ht="14.9" customHeight="1">
      <c r="B10" s="169">
        <v>6</v>
      </c>
      <c r="C10" s="148" t="s">
        <v>338</v>
      </c>
      <c r="D10" s="149"/>
      <c r="E10" s="150">
        <v>70</v>
      </c>
      <c r="F10" s="150">
        <v>70</v>
      </c>
      <c r="G10" s="150">
        <f t="shared" si="0"/>
        <v>0</v>
      </c>
      <c r="H10" s="192" t="s">
        <v>317</v>
      </c>
      <c r="I10" s="192">
        <v>901098</v>
      </c>
      <c r="J10" s="151" t="s">
        <v>303</v>
      </c>
      <c r="K10" s="214" t="s">
        <v>276</v>
      </c>
      <c r="L10" s="153">
        <f t="shared" si="1"/>
        <v>45986</v>
      </c>
      <c r="M10" s="177" t="s">
        <v>239</v>
      </c>
      <c r="N10" s="153">
        <f t="shared" si="2"/>
        <v>45991</v>
      </c>
      <c r="O10" s="153">
        <f t="shared" ref="O10:O11" si="4">+Q10-(P10*7)</f>
        <v>45996</v>
      </c>
      <c r="P10" s="151">
        <v>8</v>
      </c>
      <c r="Q10" s="153">
        <v>46052</v>
      </c>
      <c r="R10" s="194">
        <v>46045</v>
      </c>
      <c r="S10" s="151"/>
    </row>
    <row r="11" spans="2:19" ht="14.5">
      <c r="B11" s="169">
        <v>7</v>
      </c>
      <c r="C11" s="148" t="s">
        <v>340</v>
      </c>
      <c r="D11" s="149"/>
      <c r="E11" s="150">
        <v>1</v>
      </c>
      <c r="F11" s="150">
        <v>1</v>
      </c>
      <c r="G11" s="150">
        <f t="shared" si="0"/>
        <v>0</v>
      </c>
      <c r="H11" s="151" t="s">
        <v>341</v>
      </c>
      <c r="I11" s="151">
        <v>241481</v>
      </c>
      <c r="J11" s="215" t="s">
        <v>83</v>
      </c>
      <c r="K11" s="214" t="s">
        <v>276</v>
      </c>
      <c r="L11" s="153">
        <f t="shared" si="1"/>
        <v>45984</v>
      </c>
      <c r="M11" s="177" t="s">
        <v>239</v>
      </c>
      <c r="N11" s="153">
        <f t="shared" si="2"/>
        <v>45989</v>
      </c>
      <c r="O11" s="153">
        <f t="shared" si="4"/>
        <v>45994</v>
      </c>
      <c r="P11" s="151">
        <v>8</v>
      </c>
      <c r="Q11" s="153">
        <v>46050</v>
      </c>
      <c r="R11" s="153">
        <v>46049</v>
      </c>
      <c r="S11" s="151"/>
    </row>
    <row r="12" spans="2:19" ht="14.9" customHeight="1">
      <c r="B12" s="169">
        <v>8</v>
      </c>
      <c r="C12" s="193" t="s">
        <v>368</v>
      </c>
      <c r="D12" s="149"/>
      <c r="E12" s="150">
        <v>156</v>
      </c>
      <c r="F12" s="150">
        <v>156</v>
      </c>
      <c r="G12" s="150">
        <f t="shared" si="0"/>
        <v>0</v>
      </c>
      <c r="H12" s="192" t="s">
        <v>341</v>
      </c>
      <c r="I12" s="192">
        <v>450000</v>
      </c>
      <c r="J12" s="215" t="s">
        <v>303</v>
      </c>
      <c r="K12" s="215" t="s">
        <v>276</v>
      </c>
      <c r="L12" s="153">
        <f t="shared" si="1"/>
        <v>45987</v>
      </c>
      <c r="M12" s="177" t="s">
        <v>239</v>
      </c>
      <c r="N12" s="153">
        <f t="shared" si="2"/>
        <v>45992</v>
      </c>
      <c r="O12" s="153">
        <f>+Q12-(P12*7)</f>
        <v>45997</v>
      </c>
      <c r="P12" s="151">
        <v>8</v>
      </c>
      <c r="Q12" s="154">
        <v>46053</v>
      </c>
      <c r="R12" s="153">
        <v>46053</v>
      </c>
      <c r="S12" s="151"/>
    </row>
    <row r="13" spans="2:19" ht="14.5">
      <c r="B13" s="169">
        <v>9</v>
      </c>
      <c r="C13" s="193" t="s">
        <v>364</v>
      </c>
      <c r="D13" s="149"/>
      <c r="E13" s="150">
        <v>150</v>
      </c>
      <c r="F13" s="150">
        <v>0</v>
      </c>
      <c r="G13" s="150">
        <f t="shared" si="0"/>
        <v>150</v>
      </c>
      <c r="H13" s="192" t="s">
        <v>365</v>
      </c>
      <c r="I13" s="192">
        <v>369930</v>
      </c>
      <c r="J13" s="215" t="s">
        <v>76</v>
      </c>
      <c r="K13" s="215" t="s">
        <v>245</v>
      </c>
      <c r="L13" s="153">
        <f t="shared" si="1"/>
        <v>45935</v>
      </c>
      <c r="M13" s="207" t="s">
        <v>295</v>
      </c>
      <c r="N13" s="153">
        <f t="shared" si="2"/>
        <v>45940</v>
      </c>
      <c r="O13" s="153">
        <f t="shared" ref="O13" si="5">+Q13-(P13*7)</f>
        <v>45945</v>
      </c>
      <c r="P13" s="151">
        <v>8</v>
      </c>
      <c r="Q13" s="154">
        <v>46001</v>
      </c>
      <c r="R13" s="153">
        <v>46001</v>
      </c>
      <c r="S13" s="151"/>
    </row>
    <row r="14" spans="2:19" ht="14.5">
      <c r="B14" s="169">
        <v>10</v>
      </c>
      <c r="C14" s="193" t="s">
        <v>373</v>
      </c>
      <c r="D14" s="149"/>
      <c r="E14" s="150">
        <v>31</v>
      </c>
      <c r="F14" s="150">
        <v>31</v>
      </c>
      <c r="G14" s="150">
        <f t="shared" si="0"/>
        <v>0</v>
      </c>
      <c r="H14" s="151" t="s">
        <v>258</v>
      </c>
      <c r="I14" s="151">
        <v>2058407</v>
      </c>
      <c r="J14" s="151" t="s">
        <v>76</v>
      </c>
      <c r="K14" s="152" t="s">
        <v>238</v>
      </c>
      <c r="L14" s="153">
        <f t="shared" si="1"/>
        <v>45972</v>
      </c>
      <c r="M14" s="177" t="s">
        <v>239</v>
      </c>
      <c r="N14" s="153">
        <f t="shared" si="2"/>
        <v>45977</v>
      </c>
      <c r="O14" s="153">
        <f>+Q14-(P14*7)</f>
        <v>45982</v>
      </c>
      <c r="P14" s="151">
        <v>10</v>
      </c>
      <c r="Q14" s="188">
        <v>46052</v>
      </c>
      <c r="R14" s="188">
        <v>46055</v>
      </c>
      <c r="S14" s="149"/>
    </row>
    <row r="15" spans="2:19" ht="14.5">
      <c r="B15" s="169">
        <v>11</v>
      </c>
      <c r="C15" s="193" t="s">
        <v>374</v>
      </c>
      <c r="D15" s="149"/>
      <c r="E15" s="150">
        <v>2533</v>
      </c>
      <c r="F15" s="150">
        <v>1606</v>
      </c>
      <c r="G15" s="150">
        <f t="shared" si="0"/>
        <v>927</v>
      </c>
      <c r="H15" s="151" t="s">
        <v>244</v>
      </c>
      <c r="I15" s="151">
        <v>29300000</v>
      </c>
      <c r="J15" s="151" t="s">
        <v>76</v>
      </c>
      <c r="K15" s="152" t="s">
        <v>245</v>
      </c>
      <c r="L15" s="153">
        <f t="shared" si="1"/>
        <v>45938</v>
      </c>
      <c r="M15" s="211" t="s">
        <v>350</v>
      </c>
      <c r="N15" s="153">
        <f t="shared" si="2"/>
        <v>45943</v>
      </c>
      <c r="O15" s="153">
        <f t="shared" ref="O15:O78" si="6">+Q15-(P15*7)</f>
        <v>45948</v>
      </c>
      <c r="P15" s="151">
        <v>10</v>
      </c>
      <c r="Q15" s="153">
        <v>46018</v>
      </c>
      <c r="R15" s="175">
        <v>46042</v>
      </c>
      <c r="S15" s="149"/>
    </row>
    <row r="16" spans="2:19" ht="13.75" customHeight="1">
      <c r="B16" s="169">
        <v>12</v>
      </c>
      <c r="C16" s="193" t="s">
        <v>357</v>
      </c>
      <c r="D16" s="149"/>
      <c r="E16" s="150">
        <v>130</v>
      </c>
      <c r="F16" s="150">
        <v>130</v>
      </c>
      <c r="G16" s="150">
        <f t="shared" si="0"/>
        <v>0</v>
      </c>
      <c r="H16" s="192" t="s">
        <v>358</v>
      </c>
      <c r="I16" s="192">
        <v>1530000</v>
      </c>
      <c r="J16" s="215" t="s">
        <v>76</v>
      </c>
      <c r="K16" s="215" t="s">
        <v>245</v>
      </c>
      <c r="L16" s="153">
        <f t="shared" si="1"/>
        <v>45965</v>
      </c>
      <c r="M16" s="177" t="s">
        <v>239</v>
      </c>
      <c r="N16" s="153">
        <f t="shared" si="2"/>
        <v>45970</v>
      </c>
      <c r="O16" s="153">
        <f t="shared" si="6"/>
        <v>45975</v>
      </c>
      <c r="P16" s="151">
        <v>14</v>
      </c>
      <c r="Q16" s="153">
        <v>46073</v>
      </c>
      <c r="R16" s="153">
        <v>46078</v>
      </c>
      <c r="S16" s="151"/>
    </row>
    <row r="17" spans="2:19" ht="14.9" customHeight="1">
      <c r="B17" s="169">
        <v>13</v>
      </c>
      <c r="C17" s="148" t="s">
        <v>272</v>
      </c>
      <c r="D17" s="149"/>
      <c r="E17" s="150">
        <v>8</v>
      </c>
      <c r="F17" s="150">
        <v>0</v>
      </c>
      <c r="G17" s="150">
        <f t="shared" si="0"/>
        <v>8</v>
      </c>
      <c r="H17" s="151" t="s">
        <v>273</v>
      </c>
      <c r="I17" s="151">
        <v>510192</v>
      </c>
      <c r="J17" s="151" t="s">
        <v>76</v>
      </c>
      <c r="K17" s="152" t="s">
        <v>238</v>
      </c>
      <c r="L17" s="153">
        <f t="shared" si="1"/>
        <v>45915</v>
      </c>
      <c r="M17" s="206" t="s">
        <v>295</v>
      </c>
      <c r="N17" s="153">
        <f t="shared" si="2"/>
        <v>45920</v>
      </c>
      <c r="O17" s="153">
        <f t="shared" si="6"/>
        <v>45925</v>
      </c>
      <c r="P17" s="151">
        <v>16</v>
      </c>
      <c r="Q17" s="153">
        <v>46037</v>
      </c>
      <c r="R17" s="153">
        <v>45981</v>
      </c>
      <c r="S17" s="151"/>
    </row>
    <row r="18" spans="2:19" ht="14.9" customHeight="1">
      <c r="B18" s="169">
        <v>14</v>
      </c>
      <c r="C18" s="193" t="s">
        <v>360</v>
      </c>
      <c r="D18" s="149"/>
      <c r="E18" s="150">
        <v>52</v>
      </c>
      <c r="F18" s="150">
        <v>0</v>
      </c>
      <c r="G18" s="150">
        <f t="shared" si="0"/>
        <v>52</v>
      </c>
      <c r="H18" s="192" t="s">
        <v>359</v>
      </c>
      <c r="I18" s="192">
        <v>873600</v>
      </c>
      <c r="J18" s="151" t="s">
        <v>83</v>
      </c>
      <c r="K18" s="214" t="s">
        <v>276</v>
      </c>
      <c r="L18" s="153">
        <f t="shared" si="1"/>
        <v>45930</v>
      </c>
      <c r="M18" s="206" t="s">
        <v>295</v>
      </c>
      <c r="N18" s="153">
        <f t="shared" si="2"/>
        <v>45935</v>
      </c>
      <c r="O18" s="153">
        <f t="shared" si="6"/>
        <v>45940</v>
      </c>
      <c r="P18" s="151">
        <v>16</v>
      </c>
      <c r="Q18" s="153">
        <v>46052</v>
      </c>
      <c r="R18" s="175">
        <v>45981</v>
      </c>
      <c r="S18" s="151"/>
    </row>
    <row r="19" spans="2:19" ht="14.4" customHeight="1">
      <c r="B19" s="169">
        <v>15</v>
      </c>
      <c r="C19" s="148" t="s">
        <v>311</v>
      </c>
      <c r="D19" s="149"/>
      <c r="E19" s="150">
        <v>6657</v>
      </c>
      <c r="F19" s="150">
        <v>6657</v>
      </c>
      <c r="G19" s="150">
        <f t="shared" si="0"/>
        <v>0</v>
      </c>
      <c r="H19" s="151" t="s">
        <v>312</v>
      </c>
      <c r="I19" s="151">
        <v>364500</v>
      </c>
      <c r="J19" s="151" t="s">
        <v>76</v>
      </c>
      <c r="K19" s="214" t="s">
        <v>238</v>
      </c>
      <c r="L19" s="153">
        <f t="shared" si="1"/>
        <v>45953</v>
      </c>
      <c r="M19" s="177" t="s">
        <v>239</v>
      </c>
      <c r="N19" s="153">
        <f t="shared" si="2"/>
        <v>45958</v>
      </c>
      <c r="O19" s="153">
        <f t="shared" si="6"/>
        <v>45963</v>
      </c>
      <c r="P19" s="151">
        <v>12</v>
      </c>
      <c r="Q19" s="153">
        <v>46047</v>
      </c>
      <c r="R19" s="175">
        <v>46042</v>
      </c>
      <c r="S19" s="151"/>
    </row>
    <row r="20" spans="2:19" ht="14.4" customHeight="1">
      <c r="B20" s="169">
        <v>16</v>
      </c>
      <c r="C20" s="148" t="s">
        <v>254</v>
      </c>
      <c r="D20" s="149"/>
      <c r="E20" s="150">
        <v>1</v>
      </c>
      <c r="F20" s="150">
        <v>1</v>
      </c>
      <c r="G20" s="150">
        <f t="shared" si="0"/>
        <v>0</v>
      </c>
      <c r="H20" s="151" t="s">
        <v>255</v>
      </c>
      <c r="I20" s="151">
        <v>3000000</v>
      </c>
      <c r="J20" s="151" t="s">
        <v>76</v>
      </c>
      <c r="K20" s="214" t="s">
        <v>243</v>
      </c>
      <c r="L20" s="153">
        <f t="shared" si="1"/>
        <v>45972</v>
      </c>
      <c r="M20" s="177" t="s">
        <v>239</v>
      </c>
      <c r="N20" s="153">
        <f t="shared" si="2"/>
        <v>45977</v>
      </c>
      <c r="O20" s="153">
        <f t="shared" si="6"/>
        <v>45982</v>
      </c>
      <c r="P20" s="151">
        <v>10</v>
      </c>
      <c r="Q20" s="153">
        <v>46052</v>
      </c>
      <c r="R20" s="203">
        <v>46106</v>
      </c>
      <c r="S20" s="151"/>
    </row>
    <row r="21" spans="2:19" ht="14.4" customHeight="1">
      <c r="B21" s="169">
        <v>17</v>
      </c>
      <c r="C21" s="216" t="s">
        <v>391</v>
      </c>
      <c r="D21" s="149"/>
      <c r="E21" s="150">
        <v>189</v>
      </c>
      <c r="F21" s="150">
        <v>59</v>
      </c>
      <c r="G21" s="150">
        <f t="shared" si="0"/>
        <v>130</v>
      </c>
      <c r="H21" s="151" t="s">
        <v>289</v>
      </c>
      <c r="I21" s="151">
        <v>19000713</v>
      </c>
      <c r="J21" s="151" t="s">
        <v>76</v>
      </c>
      <c r="K21" s="214" t="s">
        <v>276</v>
      </c>
      <c r="L21" s="153">
        <f t="shared" si="1"/>
        <v>45971</v>
      </c>
      <c r="M21" s="204" t="s">
        <v>350</v>
      </c>
      <c r="N21" s="153">
        <f t="shared" si="2"/>
        <v>45976</v>
      </c>
      <c r="O21" s="153">
        <f t="shared" si="6"/>
        <v>45981</v>
      </c>
      <c r="P21" s="151">
        <v>8</v>
      </c>
      <c r="Q21" s="153">
        <v>46037</v>
      </c>
      <c r="R21" s="153">
        <v>46042</v>
      </c>
      <c r="S21" s="151"/>
    </row>
    <row r="22" spans="2:19" ht="14.15" customHeight="1">
      <c r="B22" s="169">
        <v>18</v>
      </c>
      <c r="C22" s="193" t="s">
        <v>356</v>
      </c>
      <c r="D22" s="149"/>
      <c r="E22" s="150">
        <v>20</v>
      </c>
      <c r="F22" s="150">
        <v>0</v>
      </c>
      <c r="G22" s="150">
        <f t="shared" si="0"/>
        <v>20</v>
      </c>
      <c r="H22" s="151" t="s">
        <v>278</v>
      </c>
      <c r="I22" s="151">
        <v>30000</v>
      </c>
      <c r="J22" s="151" t="s">
        <v>76</v>
      </c>
      <c r="K22" s="214" t="s">
        <v>276</v>
      </c>
      <c r="L22" s="153">
        <f t="shared" si="1"/>
        <v>45902</v>
      </c>
      <c r="M22" s="206" t="s">
        <v>295</v>
      </c>
      <c r="N22" s="153">
        <f t="shared" si="2"/>
        <v>45907</v>
      </c>
      <c r="O22" s="153">
        <f t="shared" si="6"/>
        <v>45912</v>
      </c>
      <c r="P22" s="151">
        <v>12</v>
      </c>
      <c r="Q22" s="153">
        <v>45996</v>
      </c>
      <c r="R22" s="153">
        <v>45976</v>
      </c>
      <c r="S22" s="151"/>
    </row>
    <row r="23" spans="2:19" ht="14.15" customHeight="1">
      <c r="B23" s="169">
        <v>19</v>
      </c>
      <c r="C23" s="199" t="s">
        <v>382</v>
      </c>
      <c r="D23" s="149"/>
      <c r="E23" s="150">
        <v>150</v>
      </c>
      <c r="F23" s="150">
        <v>32</v>
      </c>
      <c r="G23" s="150">
        <f t="shared" si="0"/>
        <v>118</v>
      </c>
      <c r="H23" s="192" t="s">
        <v>354</v>
      </c>
      <c r="I23" s="192">
        <v>541000</v>
      </c>
      <c r="J23" s="215" t="s">
        <v>76</v>
      </c>
      <c r="K23" s="215" t="s">
        <v>245</v>
      </c>
      <c r="L23" s="153">
        <f t="shared" si="1"/>
        <v>45961</v>
      </c>
      <c r="M23" s="177" t="s">
        <v>239</v>
      </c>
      <c r="N23" s="153">
        <f t="shared" si="2"/>
        <v>45966</v>
      </c>
      <c r="O23" s="153">
        <f t="shared" si="6"/>
        <v>45971</v>
      </c>
      <c r="P23" s="151">
        <v>8</v>
      </c>
      <c r="Q23" s="153">
        <v>46027</v>
      </c>
      <c r="R23" s="153">
        <v>46021</v>
      </c>
      <c r="S23" s="151"/>
    </row>
    <row r="24" spans="2:19" ht="14.15" customHeight="1">
      <c r="B24" s="169">
        <v>20</v>
      </c>
      <c r="C24" s="148" t="s">
        <v>334</v>
      </c>
      <c r="D24" s="149"/>
      <c r="E24" s="150">
        <v>1</v>
      </c>
      <c r="F24" s="150">
        <v>1</v>
      </c>
      <c r="G24" s="150">
        <f t="shared" si="0"/>
        <v>0</v>
      </c>
      <c r="H24" s="201" t="s">
        <v>383</v>
      </c>
      <c r="I24" s="201">
        <v>10000000</v>
      </c>
      <c r="J24" s="151" t="s">
        <v>335</v>
      </c>
      <c r="K24" s="152" t="s">
        <v>238</v>
      </c>
      <c r="L24" s="153">
        <f t="shared" si="1"/>
        <v>46001</v>
      </c>
      <c r="M24" s="177" t="s">
        <v>239</v>
      </c>
      <c r="N24" s="153">
        <f t="shared" si="2"/>
        <v>46006</v>
      </c>
      <c r="O24" s="153">
        <f t="shared" si="6"/>
        <v>46011</v>
      </c>
      <c r="P24" s="151">
        <v>6</v>
      </c>
      <c r="Q24" s="203">
        <v>46053</v>
      </c>
      <c r="R24" s="153">
        <v>46037</v>
      </c>
      <c r="S24" s="151"/>
    </row>
    <row r="25" spans="2:19" ht="14.5">
      <c r="B25" s="169">
        <v>21</v>
      </c>
      <c r="C25" s="148" t="s">
        <v>240</v>
      </c>
      <c r="D25" s="149"/>
      <c r="E25" s="150">
        <v>9</v>
      </c>
      <c r="F25" s="150">
        <v>9</v>
      </c>
      <c r="G25" s="150">
        <f t="shared" si="0"/>
        <v>0</v>
      </c>
      <c r="H25" s="184" t="s">
        <v>345</v>
      </c>
      <c r="I25" s="212">
        <v>7907075.9084824184</v>
      </c>
      <c r="J25" s="151" t="s">
        <v>76</v>
      </c>
      <c r="K25" s="152" t="s">
        <v>238</v>
      </c>
      <c r="L25" s="153">
        <f t="shared" si="1"/>
        <v>45963</v>
      </c>
      <c r="M25" s="177" t="s">
        <v>239</v>
      </c>
      <c r="N25" s="153">
        <f t="shared" si="2"/>
        <v>45968</v>
      </c>
      <c r="O25" s="153">
        <f t="shared" si="6"/>
        <v>45973</v>
      </c>
      <c r="P25" s="151">
        <v>12</v>
      </c>
      <c r="Q25" s="153">
        <v>46057</v>
      </c>
      <c r="R25" s="153">
        <v>46057</v>
      </c>
      <c r="S25" s="151"/>
    </row>
    <row r="26" spans="2:19" ht="14.9" customHeight="1">
      <c r="B26" s="169">
        <v>22</v>
      </c>
      <c r="C26" s="148" t="s">
        <v>241</v>
      </c>
      <c r="D26" s="149"/>
      <c r="E26" s="150">
        <v>5</v>
      </c>
      <c r="F26" s="150">
        <v>5</v>
      </c>
      <c r="G26" s="150">
        <f t="shared" si="0"/>
        <v>0</v>
      </c>
      <c r="H26" s="184" t="s">
        <v>345</v>
      </c>
      <c r="I26" s="212">
        <v>3924864.0915175839</v>
      </c>
      <c r="J26" s="151" t="s">
        <v>76</v>
      </c>
      <c r="K26" s="152" t="s">
        <v>238</v>
      </c>
      <c r="L26" s="153">
        <f t="shared" si="1"/>
        <v>45963</v>
      </c>
      <c r="M26" s="177" t="s">
        <v>239</v>
      </c>
      <c r="N26" s="153">
        <f t="shared" si="2"/>
        <v>45968</v>
      </c>
      <c r="O26" s="153">
        <f t="shared" si="6"/>
        <v>45973</v>
      </c>
      <c r="P26" s="151">
        <v>12</v>
      </c>
      <c r="Q26" s="153">
        <v>46057</v>
      </c>
      <c r="R26" s="153">
        <v>46057</v>
      </c>
      <c r="S26" s="151"/>
    </row>
    <row r="27" spans="2:19" ht="14.15" customHeight="1">
      <c r="B27" s="169">
        <v>23</v>
      </c>
      <c r="C27" s="148" t="s">
        <v>319</v>
      </c>
      <c r="D27" s="149"/>
      <c r="E27" s="150">
        <v>2</v>
      </c>
      <c r="F27" s="150">
        <v>0</v>
      </c>
      <c r="G27" s="150">
        <f t="shared" si="0"/>
        <v>2</v>
      </c>
      <c r="H27" s="151" t="s">
        <v>320</v>
      </c>
      <c r="I27" s="151">
        <v>1540000</v>
      </c>
      <c r="J27" s="151" t="s">
        <v>76</v>
      </c>
      <c r="K27" s="214" t="s">
        <v>276</v>
      </c>
      <c r="L27" s="153">
        <f t="shared" si="1"/>
        <v>46000</v>
      </c>
      <c r="M27" s="205" t="s">
        <v>295</v>
      </c>
      <c r="N27" s="153">
        <f t="shared" si="2"/>
        <v>46005</v>
      </c>
      <c r="O27" s="153">
        <f t="shared" si="6"/>
        <v>46010</v>
      </c>
      <c r="P27" s="151">
        <v>6</v>
      </c>
      <c r="Q27" s="153">
        <v>46052</v>
      </c>
      <c r="R27" s="186">
        <v>46022</v>
      </c>
      <c r="S27" s="149"/>
    </row>
    <row r="28" spans="2:19" ht="14.9" customHeight="1">
      <c r="B28" s="169">
        <v>24</v>
      </c>
      <c r="C28" s="193" t="s">
        <v>369</v>
      </c>
      <c r="D28" s="149"/>
      <c r="E28" s="150">
        <v>2320</v>
      </c>
      <c r="F28" s="150">
        <v>0</v>
      </c>
      <c r="G28" s="150">
        <f t="shared" si="0"/>
        <v>2320</v>
      </c>
      <c r="H28" s="192" t="s">
        <v>370</v>
      </c>
      <c r="I28" s="192">
        <v>120000</v>
      </c>
      <c r="J28" s="215" t="s">
        <v>303</v>
      </c>
      <c r="K28" s="215" t="s">
        <v>276</v>
      </c>
      <c r="L28" s="153">
        <f t="shared" si="1"/>
        <v>45949</v>
      </c>
      <c r="M28" s="208" t="s">
        <v>295</v>
      </c>
      <c r="N28" s="153">
        <f t="shared" si="2"/>
        <v>45954</v>
      </c>
      <c r="O28" s="153">
        <f t="shared" si="6"/>
        <v>45959</v>
      </c>
      <c r="P28" s="151">
        <v>6</v>
      </c>
      <c r="Q28" s="154">
        <v>46001</v>
      </c>
      <c r="R28" s="153">
        <v>46001</v>
      </c>
      <c r="S28" s="151"/>
    </row>
    <row r="29" spans="2:19" ht="14.5">
      <c r="B29" s="169">
        <v>25</v>
      </c>
      <c r="C29" s="148" t="s">
        <v>279</v>
      </c>
      <c r="D29" s="149"/>
      <c r="E29" s="150">
        <v>16</v>
      </c>
      <c r="F29" s="150">
        <v>0</v>
      </c>
      <c r="G29" s="150">
        <f t="shared" si="0"/>
        <v>16</v>
      </c>
      <c r="H29" s="151" t="s">
        <v>280</v>
      </c>
      <c r="I29" s="141">
        <v>95000</v>
      </c>
      <c r="J29" s="151" t="s">
        <v>76</v>
      </c>
      <c r="K29" s="152" t="s">
        <v>238</v>
      </c>
      <c r="L29" s="153">
        <f t="shared" si="1"/>
        <v>45902</v>
      </c>
      <c r="M29" s="206" t="s">
        <v>295</v>
      </c>
      <c r="N29" s="153">
        <f t="shared" si="2"/>
        <v>45907</v>
      </c>
      <c r="O29" s="153">
        <f t="shared" si="6"/>
        <v>45912</v>
      </c>
      <c r="P29" s="151">
        <v>12</v>
      </c>
      <c r="Q29" s="153">
        <v>45996</v>
      </c>
      <c r="R29" s="175">
        <v>45991</v>
      </c>
      <c r="S29" s="151"/>
    </row>
    <row r="30" spans="2:19" ht="14.9" customHeight="1">
      <c r="B30" s="169">
        <v>26</v>
      </c>
      <c r="C30" s="193" t="s">
        <v>362</v>
      </c>
      <c r="D30" s="149"/>
      <c r="E30" s="150">
        <v>4450</v>
      </c>
      <c r="F30" s="150">
        <v>3410</v>
      </c>
      <c r="G30" s="150">
        <f t="shared" si="0"/>
        <v>1040</v>
      </c>
      <c r="H30" s="192" t="s">
        <v>363</v>
      </c>
      <c r="I30" s="151">
        <v>1112500</v>
      </c>
      <c r="J30" s="215" t="s">
        <v>83</v>
      </c>
      <c r="K30" s="215" t="s">
        <v>243</v>
      </c>
      <c r="L30" s="153">
        <f t="shared" si="1"/>
        <v>45997</v>
      </c>
      <c r="M30" s="177" t="s">
        <v>239</v>
      </c>
      <c r="N30" s="153">
        <f t="shared" si="2"/>
        <v>46002</v>
      </c>
      <c r="O30" s="153">
        <f t="shared" si="6"/>
        <v>46007</v>
      </c>
      <c r="P30" s="151">
        <v>8</v>
      </c>
      <c r="Q30" s="153">
        <v>46063</v>
      </c>
      <c r="R30" s="153">
        <v>46065</v>
      </c>
      <c r="S30" s="151"/>
    </row>
    <row r="31" spans="2:19" ht="14.9" customHeight="1">
      <c r="B31" s="169">
        <v>27</v>
      </c>
      <c r="C31" s="148" t="s">
        <v>274</v>
      </c>
      <c r="D31" s="149"/>
      <c r="E31" s="150">
        <v>2</v>
      </c>
      <c r="F31" s="150">
        <v>0</v>
      </c>
      <c r="G31" s="150">
        <f t="shared" si="0"/>
        <v>2</v>
      </c>
      <c r="H31" s="151" t="s">
        <v>275</v>
      </c>
      <c r="I31" s="151">
        <v>96800</v>
      </c>
      <c r="J31" s="151" t="s">
        <v>76</v>
      </c>
      <c r="K31" s="214" t="s">
        <v>276</v>
      </c>
      <c r="L31" s="153">
        <f t="shared" si="1"/>
        <v>45944</v>
      </c>
      <c r="M31" s="207" t="s">
        <v>295</v>
      </c>
      <c r="N31" s="153">
        <f t="shared" si="2"/>
        <v>45949</v>
      </c>
      <c r="O31" s="153">
        <f t="shared" si="6"/>
        <v>45954</v>
      </c>
      <c r="P31" s="151">
        <v>6</v>
      </c>
      <c r="Q31" s="153">
        <v>45996</v>
      </c>
      <c r="R31" s="175">
        <v>45955</v>
      </c>
      <c r="S31" s="151"/>
    </row>
    <row r="32" spans="2:19" ht="14.9" customHeight="1">
      <c r="B32" s="169">
        <v>28</v>
      </c>
      <c r="C32" s="148" t="s">
        <v>246</v>
      </c>
      <c r="D32" s="170"/>
      <c r="E32" s="150">
        <v>1</v>
      </c>
      <c r="F32" s="150">
        <v>1</v>
      </c>
      <c r="G32" s="150">
        <f t="shared" si="0"/>
        <v>0</v>
      </c>
      <c r="H32" s="176" t="s">
        <v>247</v>
      </c>
      <c r="I32" s="176">
        <v>1150000</v>
      </c>
      <c r="J32" s="151" t="s">
        <v>76</v>
      </c>
      <c r="K32" s="152" t="s">
        <v>238</v>
      </c>
      <c r="L32" s="153">
        <f t="shared" si="1"/>
        <v>45997</v>
      </c>
      <c r="M32" s="177" t="s">
        <v>239</v>
      </c>
      <c r="N32" s="153">
        <f t="shared" si="2"/>
        <v>46002</v>
      </c>
      <c r="O32" s="153">
        <f t="shared" si="6"/>
        <v>46007</v>
      </c>
      <c r="P32" s="151">
        <v>8</v>
      </c>
      <c r="Q32" s="178">
        <v>46063</v>
      </c>
      <c r="R32" s="178">
        <v>46078</v>
      </c>
      <c r="S32" s="149"/>
    </row>
    <row r="33" spans="1:19" ht="14.9" customHeight="1">
      <c r="B33" s="169">
        <v>29</v>
      </c>
      <c r="C33" s="148" t="s">
        <v>281</v>
      </c>
      <c r="D33" s="149"/>
      <c r="E33" s="150">
        <v>139</v>
      </c>
      <c r="F33" s="150">
        <v>0</v>
      </c>
      <c r="G33" s="150">
        <f t="shared" si="0"/>
        <v>139</v>
      </c>
      <c r="H33" s="151" t="s">
        <v>282</v>
      </c>
      <c r="I33" s="215">
        <v>115927</v>
      </c>
      <c r="J33" s="151" t="s">
        <v>76</v>
      </c>
      <c r="K33" s="214" t="s">
        <v>276</v>
      </c>
      <c r="L33" s="153">
        <f t="shared" si="1"/>
        <v>45902</v>
      </c>
      <c r="M33" s="206" t="s">
        <v>295</v>
      </c>
      <c r="N33" s="153">
        <f t="shared" si="2"/>
        <v>45907</v>
      </c>
      <c r="O33" s="153">
        <f t="shared" si="6"/>
        <v>45912</v>
      </c>
      <c r="P33" s="151">
        <v>12</v>
      </c>
      <c r="Q33" s="153">
        <v>45996</v>
      </c>
      <c r="R33" s="153">
        <v>45976</v>
      </c>
      <c r="S33" s="151"/>
    </row>
    <row r="34" spans="1:19" ht="14.9" customHeight="1">
      <c r="B34" s="169">
        <v>30</v>
      </c>
      <c r="C34" s="148" t="s">
        <v>291</v>
      </c>
      <c r="D34" s="149"/>
      <c r="E34" s="150">
        <v>4</v>
      </c>
      <c r="F34" s="150">
        <v>4</v>
      </c>
      <c r="G34" s="150">
        <f t="shared" si="0"/>
        <v>0</v>
      </c>
      <c r="H34" s="151" t="s">
        <v>292</v>
      </c>
      <c r="I34" s="151">
        <v>3114480</v>
      </c>
      <c r="J34" s="151" t="s">
        <v>76</v>
      </c>
      <c r="K34" s="214" t="s">
        <v>276</v>
      </c>
      <c r="L34" s="153">
        <f t="shared" si="1"/>
        <v>46000</v>
      </c>
      <c r="M34" s="177" t="s">
        <v>239</v>
      </c>
      <c r="N34" s="153">
        <f t="shared" si="2"/>
        <v>46005</v>
      </c>
      <c r="O34" s="153">
        <f t="shared" si="6"/>
        <v>46010</v>
      </c>
      <c r="P34" s="151">
        <v>6</v>
      </c>
      <c r="Q34" s="153">
        <v>46052</v>
      </c>
      <c r="R34" s="191">
        <v>46052</v>
      </c>
      <c r="S34" s="151"/>
    </row>
    <row r="35" spans="1:19" ht="14.9" customHeight="1">
      <c r="B35" s="169">
        <v>31</v>
      </c>
      <c r="C35" s="148" t="s">
        <v>321</v>
      </c>
      <c r="D35" s="149"/>
      <c r="E35" s="150">
        <v>121</v>
      </c>
      <c r="F35" s="150">
        <v>121</v>
      </c>
      <c r="G35" s="150">
        <f t="shared" si="0"/>
        <v>0</v>
      </c>
      <c r="H35" s="176" t="s">
        <v>292</v>
      </c>
      <c r="I35" s="176">
        <v>4447300</v>
      </c>
      <c r="J35" s="151" t="s">
        <v>76</v>
      </c>
      <c r="K35" s="214" t="s">
        <v>276</v>
      </c>
      <c r="L35" s="153">
        <f t="shared" si="1"/>
        <v>46007</v>
      </c>
      <c r="M35" s="177" t="s">
        <v>239</v>
      </c>
      <c r="N35" s="153">
        <f t="shared" si="2"/>
        <v>46012</v>
      </c>
      <c r="O35" s="153">
        <f t="shared" si="6"/>
        <v>46017</v>
      </c>
      <c r="P35" s="151">
        <v>5</v>
      </c>
      <c r="Q35" s="153">
        <v>46052</v>
      </c>
      <c r="R35" s="191">
        <v>46052</v>
      </c>
      <c r="S35" s="151"/>
    </row>
    <row r="36" spans="1:19" ht="14.9" customHeight="1">
      <c r="B36" s="169">
        <v>32</v>
      </c>
      <c r="C36" s="148" t="s">
        <v>313</v>
      </c>
      <c r="D36" s="149"/>
      <c r="E36" s="150">
        <v>100</v>
      </c>
      <c r="F36" s="150">
        <v>0</v>
      </c>
      <c r="G36" s="150">
        <f t="shared" si="0"/>
        <v>100</v>
      </c>
      <c r="H36" s="151" t="s">
        <v>314</v>
      </c>
      <c r="I36" s="151">
        <v>3100000</v>
      </c>
      <c r="J36" s="151" t="s">
        <v>83</v>
      </c>
      <c r="K36" s="214" t="s">
        <v>276</v>
      </c>
      <c r="L36" s="153">
        <f t="shared" si="1"/>
        <v>45966</v>
      </c>
      <c r="M36" s="177" t="s">
        <v>239</v>
      </c>
      <c r="N36" s="153">
        <f t="shared" si="2"/>
        <v>45971</v>
      </c>
      <c r="O36" s="153">
        <f t="shared" si="6"/>
        <v>45976</v>
      </c>
      <c r="P36" s="151">
        <v>8</v>
      </c>
      <c r="Q36" s="153">
        <v>46032</v>
      </c>
      <c r="R36" s="153">
        <v>46053</v>
      </c>
      <c r="S36" s="151"/>
    </row>
    <row r="37" spans="1:19" ht="14.9" customHeight="1">
      <c r="B37" s="169">
        <v>33</v>
      </c>
      <c r="C37" s="148" t="s">
        <v>323</v>
      </c>
      <c r="D37" s="149"/>
      <c r="E37" s="150">
        <f>19390+650</f>
        <v>20040</v>
      </c>
      <c r="F37" s="150">
        <v>10240</v>
      </c>
      <c r="G37" s="150">
        <f t="shared" ref="G37:G68" si="7">E37-F37</f>
        <v>9800</v>
      </c>
      <c r="H37" s="151" t="s">
        <v>314</v>
      </c>
      <c r="I37" s="151">
        <v>4921611</v>
      </c>
      <c r="J37" s="151" t="s">
        <v>318</v>
      </c>
      <c r="K37" s="214" t="s">
        <v>276</v>
      </c>
      <c r="L37" s="153">
        <f t="shared" si="1"/>
        <v>45952</v>
      </c>
      <c r="M37" s="177" t="s">
        <v>239</v>
      </c>
      <c r="N37" s="153">
        <f t="shared" si="2"/>
        <v>45957</v>
      </c>
      <c r="O37" s="153">
        <f t="shared" si="6"/>
        <v>45962</v>
      </c>
      <c r="P37" s="151">
        <v>10</v>
      </c>
      <c r="Q37" s="153">
        <v>46032</v>
      </c>
      <c r="R37" s="153">
        <v>46053</v>
      </c>
      <c r="S37" s="151"/>
    </row>
    <row r="38" spans="1:19" ht="14.9" customHeight="1">
      <c r="B38" s="169">
        <v>34</v>
      </c>
      <c r="C38" s="148" t="s">
        <v>329</v>
      </c>
      <c r="D38" s="149"/>
      <c r="E38" s="150">
        <v>1</v>
      </c>
      <c r="F38" s="150">
        <v>1</v>
      </c>
      <c r="G38" s="150">
        <f t="shared" si="7"/>
        <v>0</v>
      </c>
      <c r="H38" s="151" t="s">
        <v>306</v>
      </c>
      <c r="I38" s="213">
        <v>8162419.4732937673</v>
      </c>
      <c r="J38" s="151" t="s">
        <v>318</v>
      </c>
      <c r="K38" s="152" t="s">
        <v>238</v>
      </c>
      <c r="L38" s="153">
        <f t="shared" si="1"/>
        <v>45985</v>
      </c>
      <c r="M38" s="177" t="s">
        <v>239</v>
      </c>
      <c r="N38" s="153">
        <f t="shared" si="2"/>
        <v>45990</v>
      </c>
      <c r="O38" s="153">
        <f t="shared" si="6"/>
        <v>45995</v>
      </c>
      <c r="P38" s="151">
        <v>6</v>
      </c>
      <c r="Q38" s="153">
        <v>46037</v>
      </c>
      <c r="R38" s="153">
        <v>46037</v>
      </c>
      <c r="S38" s="151"/>
    </row>
    <row r="39" spans="1:19" ht="14.9" customHeight="1">
      <c r="B39" s="169">
        <v>35</v>
      </c>
      <c r="C39" s="148" t="s">
        <v>336</v>
      </c>
      <c r="D39" s="149"/>
      <c r="E39" s="150">
        <v>69</v>
      </c>
      <c r="F39" s="150">
        <v>6</v>
      </c>
      <c r="G39" s="150">
        <f t="shared" si="7"/>
        <v>63</v>
      </c>
      <c r="H39" s="151" t="s">
        <v>306</v>
      </c>
      <c r="I39" s="151">
        <v>5175000</v>
      </c>
      <c r="J39" s="151" t="s">
        <v>76</v>
      </c>
      <c r="K39" s="214" t="s">
        <v>327</v>
      </c>
      <c r="L39" s="153">
        <f t="shared" si="1"/>
        <v>45975</v>
      </c>
      <c r="M39" s="204" t="s">
        <v>350</v>
      </c>
      <c r="N39" s="153">
        <f t="shared" si="2"/>
        <v>45980</v>
      </c>
      <c r="O39" s="153">
        <f t="shared" si="6"/>
        <v>45985</v>
      </c>
      <c r="P39" s="151">
        <v>6</v>
      </c>
      <c r="Q39" s="153">
        <v>46027</v>
      </c>
      <c r="R39" s="153">
        <v>46027</v>
      </c>
      <c r="S39" s="151"/>
    </row>
    <row r="40" spans="1:19" ht="14.9" customHeight="1">
      <c r="B40" s="169">
        <v>36</v>
      </c>
      <c r="C40" s="148" t="s">
        <v>339</v>
      </c>
      <c r="D40" s="149"/>
      <c r="E40" s="150">
        <v>62</v>
      </c>
      <c r="F40" s="150">
        <v>62</v>
      </c>
      <c r="G40" s="150">
        <f t="shared" si="7"/>
        <v>0</v>
      </c>
      <c r="H40" s="151" t="s">
        <v>306</v>
      </c>
      <c r="I40" s="151">
        <v>280000</v>
      </c>
      <c r="J40" s="151" t="s">
        <v>76</v>
      </c>
      <c r="K40" s="152" t="s">
        <v>245</v>
      </c>
      <c r="L40" s="153">
        <f t="shared" si="1"/>
        <v>46014</v>
      </c>
      <c r="M40" s="177" t="s">
        <v>239</v>
      </c>
      <c r="N40" s="153">
        <f t="shared" si="2"/>
        <v>46019</v>
      </c>
      <c r="O40" s="153">
        <f t="shared" si="6"/>
        <v>46024</v>
      </c>
      <c r="P40" s="151">
        <v>4</v>
      </c>
      <c r="Q40" s="153">
        <v>46052</v>
      </c>
      <c r="R40" s="153">
        <v>46052</v>
      </c>
      <c r="S40" s="151"/>
    </row>
    <row r="41" spans="1:19" ht="14.9" customHeight="1">
      <c r="B41" s="169">
        <v>37</v>
      </c>
      <c r="C41" s="171" t="s">
        <v>337</v>
      </c>
      <c r="D41" s="149"/>
      <c r="E41" s="172">
        <v>9</v>
      </c>
      <c r="F41" s="172">
        <v>9</v>
      </c>
      <c r="G41" s="150">
        <f t="shared" si="7"/>
        <v>0</v>
      </c>
      <c r="H41" s="182" t="s">
        <v>302</v>
      </c>
      <c r="I41" s="182">
        <v>1131000</v>
      </c>
      <c r="J41" s="151" t="s">
        <v>76</v>
      </c>
      <c r="K41" s="152" t="s">
        <v>238</v>
      </c>
      <c r="L41" s="153">
        <f t="shared" si="1"/>
        <v>46007</v>
      </c>
      <c r="M41" s="177" t="s">
        <v>239</v>
      </c>
      <c r="N41" s="153">
        <f t="shared" si="2"/>
        <v>46012</v>
      </c>
      <c r="O41" s="153">
        <f t="shared" si="6"/>
        <v>46017</v>
      </c>
      <c r="P41" s="151">
        <v>5</v>
      </c>
      <c r="Q41" s="153">
        <v>46052</v>
      </c>
      <c r="R41" s="153"/>
      <c r="S41" s="151"/>
    </row>
    <row r="42" spans="1:19" ht="14.9" customHeight="1">
      <c r="B42" s="169">
        <v>38</v>
      </c>
      <c r="C42" s="171" t="s">
        <v>331</v>
      </c>
      <c r="D42" s="149"/>
      <c r="E42" s="173">
        <v>10</v>
      </c>
      <c r="F42" s="173">
        <v>10</v>
      </c>
      <c r="G42" s="150">
        <f t="shared" si="7"/>
        <v>0</v>
      </c>
      <c r="H42" s="151" t="s">
        <v>302</v>
      </c>
      <c r="I42" s="151">
        <v>30000</v>
      </c>
      <c r="J42" s="151" t="s">
        <v>76</v>
      </c>
      <c r="K42" s="152" t="s">
        <v>238</v>
      </c>
      <c r="L42" s="153">
        <f t="shared" si="1"/>
        <v>45985</v>
      </c>
      <c r="M42" s="177" t="s">
        <v>239</v>
      </c>
      <c r="N42" s="153">
        <f t="shared" si="2"/>
        <v>45990</v>
      </c>
      <c r="O42" s="153">
        <f t="shared" si="6"/>
        <v>45995</v>
      </c>
      <c r="P42" s="151">
        <v>6</v>
      </c>
      <c r="Q42" s="153">
        <v>46037</v>
      </c>
      <c r="R42" s="153"/>
      <c r="S42" s="151"/>
    </row>
    <row r="43" spans="1:19" ht="14.9" customHeight="1">
      <c r="B43" s="169">
        <v>39</v>
      </c>
      <c r="C43" s="148" t="s">
        <v>301</v>
      </c>
      <c r="D43" s="149"/>
      <c r="E43" s="150">
        <v>62</v>
      </c>
      <c r="F43" s="150">
        <v>62</v>
      </c>
      <c r="G43" s="150">
        <f t="shared" si="7"/>
        <v>0</v>
      </c>
      <c r="H43" s="215" t="s">
        <v>205</v>
      </c>
      <c r="I43" s="151">
        <v>31000</v>
      </c>
      <c r="J43" s="151" t="s">
        <v>303</v>
      </c>
      <c r="K43" s="214" t="s">
        <v>245</v>
      </c>
      <c r="L43" s="153">
        <f t="shared" si="1"/>
        <v>45971</v>
      </c>
      <c r="M43" s="179" t="s">
        <v>344</v>
      </c>
      <c r="N43" s="153">
        <f t="shared" si="2"/>
        <v>45976</v>
      </c>
      <c r="O43" s="153">
        <f t="shared" si="6"/>
        <v>45981</v>
      </c>
      <c r="P43" s="151">
        <v>8</v>
      </c>
      <c r="Q43" s="154">
        <v>46037</v>
      </c>
      <c r="R43" s="153"/>
      <c r="S43" s="151"/>
    </row>
    <row r="44" spans="1:19" ht="14.5">
      <c r="A44" s="141" t="s">
        <v>298</v>
      </c>
      <c r="B44" s="169">
        <v>40</v>
      </c>
      <c r="C44" s="148" t="s">
        <v>256</v>
      </c>
      <c r="D44" s="149"/>
      <c r="E44" s="150">
        <v>33</v>
      </c>
      <c r="F44" s="150">
        <v>0</v>
      </c>
      <c r="G44" s="150">
        <f t="shared" si="7"/>
        <v>33</v>
      </c>
      <c r="H44" s="151" t="s">
        <v>205</v>
      </c>
      <c r="I44" s="151">
        <v>450000</v>
      </c>
      <c r="J44" s="151" t="s">
        <v>76</v>
      </c>
      <c r="K44" s="152" t="s">
        <v>245</v>
      </c>
      <c r="L44" s="153">
        <f t="shared" si="1"/>
        <v>46037</v>
      </c>
      <c r="M44" s="201" t="s">
        <v>384</v>
      </c>
      <c r="N44" s="153">
        <f t="shared" si="2"/>
        <v>46042</v>
      </c>
      <c r="O44" s="153">
        <f t="shared" si="6"/>
        <v>46047</v>
      </c>
      <c r="P44" s="151">
        <v>7</v>
      </c>
      <c r="Q44" s="153">
        <v>46096</v>
      </c>
      <c r="R44" s="101"/>
      <c r="S44" s="151"/>
    </row>
    <row r="45" spans="1:19" ht="14.5">
      <c r="B45" s="169">
        <v>41</v>
      </c>
      <c r="C45" s="148" t="s">
        <v>308</v>
      </c>
      <c r="D45" s="149"/>
      <c r="E45" s="150">
        <v>6</v>
      </c>
      <c r="F45" s="150">
        <v>6</v>
      </c>
      <c r="G45" s="150">
        <f t="shared" si="7"/>
        <v>0</v>
      </c>
      <c r="H45" s="151" t="s">
        <v>205</v>
      </c>
      <c r="I45" s="151">
        <v>3900000</v>
      </c>
      <c r="J45" s="151" t="s">
        <v>76</v>
      </c>
      <c r="K45" s="152" t="s">
        <v>245</v>
      </c>
      <c r="L45" s="153">
        <f t="shared" si="1"/>
        <v>45967</v>
      </c>
      <c r="M45" s="202" t="s">
        <v>385</v>
      </c>
      <c r="N45" s="153">
        <f t="shared" si="2"/>
        <v>45972</v>
      </c>
      <c r="O45" s="153">
        <f t="shared" si="6"/>
        <v>45977</v>
      </c>
      <c r="P45" s="151">
        <v>10</v>
      </c>
      <c r="Q45" s="153">
        <v>46047</v>
      </c>
      <c r="R45" s="153"/>
      <c r="S45" s="183"/>
    </row>
    <row r="46" spans="1:19" ht="14.5">
      <c r="B46" s="169">
        <v>42</v>
      </c>
      <c r="C46" s="148" t="s">
        <v>326</v>
      </c>
      <c r="D46" s="149"/>
      <c r="E46" s="150">
        <v>47</v>
      </c>
      <c r="F46" s="150">
        <v>47</v>
      </c>
      <c r="G46" s="150">
        <f t="shared" si="7"/>
        <v>0</v>
      </c>
      <c r="H46" s="151" t="s">
        <v>205</v>
      </c>
      <c r="I46" s="151">
        <v>1125000</v>
      </c>
      <c r="J46" s="151" t="s">
        <v>76</v>
      </c>
      <c r="K46" s="152" t="s">
        <v>327</v>
      </c>
      <c r="L46" s="153">
        <f t="shared" si="1"/>
        <v>46030</v>
      </c>
      <c r="M46" s="209" t="s">
        <v>346</v>
      </c>
      <c r="N46" s="153">
        <f t="shared" si="2"/>
        <v>46035</v>
      </c>
      <c r="O46" s="153">
        <f t="shared" si="6"/>
        <v>46040</v>
      </c>
      <c r="P46" s="151">
        <v>8</v>
      </c>
      <c r="Q46" s="154">
        <v>46096</v>
      </c>
      <c r="R46" s="153"/>
      <c r="S46" s="151"/>
    </row>
    <row r="47" spans="1:19" ht="14.9" customHeight="1">
      <c r="B47" s="169">
        <v>43</v>
      </c>
      <c r="C47" s="148" t="s">
        <v>328</v>
      </c>
      <c r="D47" s="149"/>
      <c r="E47" s="150">
        <v>48</v>
      </c>
      <c r="F47" s="150">
        <v>48</v>
      </c>
      <c r="G47" s="150">
        <f t="shared" si="7"/>
        <v>0</v>
      </c>
      <c r="H47" s="151" t="s">
        <v>205</v>
      </c>
      <c r="I47" s="151">
        <v>350000</v>
      </c>
      <c r="J47" s="151" t="s">
        <v>76</v>
      </c>
      <c r="K47" s="152" t="s">
        <v>327</v>
      </c>
      <c r="L47" s="153">
        <f t="shared" si="1"/>
        <v>46044</v>
      </c>
      <c r="M47" s="209" t="s">
        <v>346</v>
      </c>
      <c r="N47" s="153">
        <f t="shared" si="2"/>
        <v>46049</v>
      </c>
      <c r="O47" s="153">
        <f t="shared" si="6"/>
        <v>46054</v>
      </c>
      <c r="P47" s="151">
        <v>6</v>
      </c>
      <c r="Q47" s="154">
        <v>46096</v>
      </c>
      <c r="R47" s="153"/>
      <c r="S47" s="151"/>
    </row>
    <row r="48" spans="1:19" ht="14.9" customHeight="1">
      <c r="B48" s="169">
        <v>44</v>
      </c>
      <c r="C48" s="148" t="s">
        <v>330</v>
      </c>
      <c r="D48" s="149"/>
      <c r="E48" s="150">
        <v>44</v>
      </c>
      <c r="F48" s="150">
        <v>44</v>
      </c>
      <c r="G48" s="150">
        <f t="shared" si="7"/>
        <v>0</v>
      </c>
      <c r="H48" s="151" t="s">
        <v>205</v>
      </c>
      <c r="I48" s="151">
        <v>150000</v>
      </c>
      <c r="J48" s="151" t="s">
        <v>76</v>
      </c>
      <c r="K48" s="152" t="s">
        <v>245</v>
      </c>
      <c r="L48" s="153">
        <f t="shared" si="1"/>
        <v>46000</v>
      </c>
      <c r="M48" s="177" t="s">
        <v>239</v>
      </c>
      <c r="N48" s="153">
        <f t="shared" si="2"/>
        <v>46005</v>
      </c>
      <c r="O48" s="153">
        <f t="shared" si="6"/>
        <v>46010</v>
      </c>
      <c r="P48" s="151">
        <v>6</v>
      </c>
      <c r="Q48" s="153">
        <v>46052</v>
      </c>
      <c r="R48" s="153"/>
      <c r="S48" s="151"/>
    </row>
    <row r="49" spans="2:19" ht="14.9" customHeight="1">
      <c r="B49" s="169">
        <v>45</v>
      </c>
      <c r="C49" s="148" t="s">
        <v>270</v>
      </c>
      <c r="D49" s="149"/>
      <c r="E49" s="150">
        <v>16</v>
      </c>
      <c r="F49" s="150">
        <v>0</v>
      </c>
      <c r="G49" s="150">
        <f t="shared" si="7"/>
        <v>16</v>
      </c>
      <c r="H49" s="151" t="s">
        <v>271</v>
      </c>
      <c r="I49" s="151">
        <v>22896</v>
      </c>
      <c r="J49" s="151" t="s">
        <v>76</v>
      </c>
      <c r="K49" s="152" t="s">
        <v>238</v>
      </c>
      <c r="L49" s="153">
        <f t="shared" si="1"/>
        <v>45915</v>
      </c>
      <c r="M49" s="207" t="s">
        <v>295</v>
      </c>
      <c r="N49" s="153">
        <f t="shared" si="2"/>
        <v>45920</v>
      </c>
      <c r="O49" s="153">
        <f t="shared" si="6"/>
        <v>45925</v>
      </c>
      <c r="P49" s="151">
        <v>16</v>
      </c>
      <c r="Q49" s="153">
        <v>46037</v>
      </c>
      <c r="R49" s="153">
        <v>45981</v>
      </c>
      <c r="S49" s="151"/>
    </row>
    <row r="50" spans="2:19" ht="14.9" customHeight="1">
      <c r="B50" s="169">
        <v>46</v>
      </c>
      <c r="C50" s="200" t="s">
        <v>381</v>
      </c>
      <c r="D50" s="149"/>
      <c r="E50" s="150">
        <v>428</v>
      </c>
      <c r="F50" s="150">
        <v>428</v>
      </c>
      <c r="G50" s="150">
        <f t="shared" si="7"/>
        <v>0</v>
      </c>
      <c r="H50" s="198" t="s">
        <v>380</v>
      </c>
      <c r="I50" s="198">
        <v>800000</v>
      </c>
      <c r="J50" s="215" t="s">
        <v>76</v>
      </c>
      <c r="K50" s="215" t="s">
        <v>276</v>
      </c>
      <c r="L50" s="153">
        <f t="shared" si="1"/>
        <v>45970</v>
      </c>
      <c r="M50" s="177" t="s">
        <v>239</v>
      </c>
      <c r="N50" s="153">
        <f t="shared" si="2"/>
        <v>45975</v>
      </c>
      <c r="O50" s="153">
        <f t="shared" si="6"/>
        <v>45980</v>
      </c>
      <c r="P50" s="151">
        <v>6</v>
      </c>
      <c r="Q50" s="153">
        <v>46022</v>
      </c>
      <c r="R50" s="153">
        <v>46022</v>
      </c>
      <c r="S50" s="151"/>
    </row>
    <row r="51" spans="2:19" ht="14.9" customHeight="1">
      <c r="B51" s="169">
        <v>47</v>
      </c>
      <c r="C51" s="216" t="s">
        <v>393</v>
      </c>
      <c r="D51" s="149"/>
      <c r="E51" s="150">
        <v>2051</v>
      </c>
      <c r="F51" s="150">
        <v>1758</v>
      </c>
      <c r="G51" s="150">
        <f t="shared" si="7"/>
        <v>293</v>
      </c>
      <c r="H51" s="151" t="s">
        <v>293</v>
      </c>
      <c r="I51" s="151">
        <v>17690405</v>
      </c>
      <c r="J51" s="151" t="s">
        <v>83</v>
      </c>
      <c r="K51" s="214" t="s">
        <v>276</v>
      </c>
      <c r="L51" s="153">
        <f t="shared" si="1"/>
        <v>45986</v>
      </c>
      <c r="M51" s="204" t="s">
        <v>350</v>
      </c>
      <c r="N51" s="153">
        <f t="shared" si="2"/>
        <v>45991</v>
      </c>
      <c r="O51" s="153">
        <f t="shared" si="6"/>
        <v>45996</v>
      </c>
      <c r="P51" s="151">
        <v>8</v>
      </c>
      <c r="Q51" s="153">
        <v>46052</v>
      </c>
      <c r="R51" s="153">
        <v>46053</v>
      </c>
      <c r="S51" s="151"/>
    </row>
    <row r="52" spans="2:19" ht="14.5">
      <c r="B52" s="169">
        <v>48</v>
      </c>
      <c r="C52" s="200" t="s">
        <v>294</v>
      </c>
      <c r="D52" s="149"/>
      <c r="E52" s="150">
        <v>6</v>
      </c>
      <c r="F52" s="150">
        <v>0</v>
      </c>
      <c r="G52" s="150">
        <f t="shared" si="7"/>
        <v>6</v>
      </c>
      <c r="H52" s="198" t="s">
        <v>377</v>
      </c>
      <c r="I52" s="198">
        <v>3150000</v>
      </c>
      <c r="J52" s="215" t="s">
        <v>253</v>
      </c>
      <c r="K52" s="215" t="s">
        <v>238</v>
      </c>
      <c r="L52" s="153">
        <f t="shared" si="1"/>
        <v>45925</v>
      </c>
      <c r="M52" s="177" t="s">
        <v>239</v>
      </c>
      <c r="N52" s="153">
        <f t="shared" si="2"/>
        <v>45930</v>
      </c>
      <c r="O52" s="153">
        <f t="shared" si="6"/>
        <v>45935</v>
      </c>
      <c r="P52" s="151">
        <v>16</v>
      </c>
      <c r="Q52" s="153">
        <v>46047</v>
      </c>
      <c r="R52" s="153">
        <v>46047</v>
      </c>
      <c r="S52" s="151"/>
    </row>
    <row r="53" spans="2:19" ht="14.9" customHeight="1">
      <c r="B53" s="169">
        <v>49</v>
      </c>
      <c r="C53" s="148" t="s">
        <v>287</v>
      </c>
      <c r="D53" s="149"/>
      <c r="E53" s="150">
        <v>19</v>
      </c>
      <c r="F53" s="150">
        <v>0</v>
      </c>
      <c r="G53" s="150">
        <f t="shared" si="7"/>
        <v>19</v>
      </c>
      <c r="H53" s="159" t="s">
        <v>288</v>
      </c>
      <c r="I53" s="159">
        <v>25000</v>
      </c>
      <c r="J53" s="151" t="s">
        <v>76</v>
      </c>
      <c r="K53" s="214" t="s">
        <v>276</v>
      </c>
      <c r="L53" s="153">
        <f t="shared" si="1"/>
        <v>45928</v>
      </c>
      <c r="M53" s="206" t="s">
        <v>295</v>
      </c>
      <c r="N53" s="153">
        <f t="shared" si="2"/>
        <v>45933</v>
      </c>
      <c r="O53" s="153">
        <f t="shared" si="6"/>
        <v>45938</v>
      </c>
      <c r="P53" s="151">
        <v>12</v>
      </c>
      <c r="Q53" s="153">
        <v>46022</v>
      </c>
      <c r="R53" s="153">
        <v>46022</v>
      </c>
      <c r="S53" s="151"/>
    </row>
    <row r="54" spans="2:19" ht="14.9" customHeight="1">
      <c r="B54" s="169">
        <v>50</v>
      </c>
      <c r="C54" s="216" t="s">
        <v>394</v>
      </c>
      <c r="D54" s="149"/>
      <c r="E54" s="150">
        <v>8</v>
      </c>
      <c r="F54" s="150">
        <v>8</v>
      </c>
      <c r="G54" s="150">
        <f t="shared" si="7"/>
        <v>0</v>
      </c>
      <c r="H54" s="151" t="s">
        <v>261</v>
      </c>
      <c r="I54" s="151">
        <v>31608655</v>
      </c>
      <c r="J54" s="215" t="s">
        <v>395</v>
      </c>
      <c r="K54" s="152" t="s">
        <v>238</v>
      </c>
      <c r="L54" s="153">
        <f t="shared" si="1"/>
        <v>45959</v>
      </c>
      <c r="M54" s="177" t="s">
        <v>239</v>
      </c>
      <c r="N54" s="153">
        <f t="shared" si="2"/>
        <v>45964</v>
      </c>
      <c r="O54" s="153">
        <f t="shared" si="6"/>
        <v>45969</v>
      </c>
      <c r="P54" s="151">
        <v>12</v>
      </c>
      <c r="Q54" s="153">
        <v>46053</v>
      </c>
      <c r="R54" s="153">
        <v>46053</v>
      </c>
      <c r="S54" s="151"/>
    </row>
    <row r="55" spans="2:19" ht="14.9" customHeight="1">
      <c r="B55" s="169">
        <v>51</v>
      </c>
      <c r="C55" s="148" t="s">
        <v>262</v>
      </c>
      <c r="D55" s="149"/>
      <c r="E55" s="150">
        <v>1030</v>
      </c>
      <c r="F55" s="150">
        <v>186</v>
      </c>
      <c r="G55" s="150">
        <f t="shared" si="7"/>
        <v>844</v>
      </c>
      <c r="H55" s="176" t="s">
        <v>260</v>
      </c>
      <c r="I55" s="176">
        <v>3166920</v>
      </c>
      <c r="J55" s="151" t="s">
        <v>76</v>
      </c>
      <c r="K55" s="214" t="s">
        <v>276</v>
      </c>
      <c r="L55" s="153">
        <f t="shared" si="1"/>
        <v>45981</v>
      </c>
      <c r="M55" s="204" t="s">
        <v>350</v>
      </c>
      <c r="N55" s="153">
        <f t="shared" si="2"/>
        <v>45986</v>
      </c>
      <c r="O55" s="153">
        <f t="shared" si="6"/>
        <v>45991</v>
      </c>
      <c r="P55" s="151">
        <v>8</v>
      </c>
      <c r="Q55" s="153">
        <v>46047</v>
      </c>
      <c r="R55" s="153">
        <v>46061</v>
      </c>
      <c r="S55" s="151"/>
    </row>
    <row r="56" spans="2:19" ht="14.9" customHeight="1">
      <c r="B56" s="169">
        <v>52</v>
      </c>
      <c r="C56" s="148" t="s">
        <v>259</v>
      </c>
      <c r="D56" s="149"/>
      <c r="E56" s="150">
        <v>72</v>
      </c>
      <c r="F56" s="150">
        <v>72</v>
      </c>
      <c r="G56" s="150">
        <f t="shared" si="7"/>
        <v>0</v>
      </c>
      <c r="H56" s="151" t="s">
        <v>260</v>
      </c>
      <c r="I56" s="151">
        <v>150000</v>
      </c>
      <c r="J56" s="151" t="s">
        <v>76</v>
      </c>
      <c r="K56" s="214" t="s">
        <v>276</v>
      </c>
      <c r="L56" s="153">
        <f t="shared" si="1"/>
        <v>45953</v>
      </c>
      <c r="M56" s="177" t="s">
        <v>239</v>
      </c>
      <c r="N56" s="153">
        <f t="shared" si="2"/>
        <v>45958</v>
      </c>
      <c r="O56" s="153">
        <f t="shared" si="6"/>
        <v>45963</v>
      </c>
      <c r="P56" s="151">
        <v>12</v>
      </c>
      <c r="Q56" s="153">
        <v>46047</v>
      </c>
      <c r="R56" s="153">
        <v>46043</v>
      </c>
      <c r="S56" s="151"/>
    </row>
    <row r="57" spans="2:19" ht="14.9" customHeight="1">
      <c r="B57" s="169">
        <v>53</v>
      </c>
      <c r="C57" s="148" t="s">
        <v>296</v>
      </c>
      <c r="D57" s="149"/>
      <c r="E57" s="150">
        <v>3</v>
      </c>
      <c r="F57" s="150">
        <v>3</v>
      </c>
      <c r="G57" s="150">
        <f t="shared" si="7"/>
        <v>0</v>
      </c>
      <c r="H57" s="151" t="s">
        <v>297</v>
      </c>
      <c r="I57" s="151">
        <v>17550000</v>
      </c>
      <c r="J57" s="151" t="s">
        <v>76</v>
      </c>
      <c r="K57" s="152" t="s">
        <v>238</v>
      </c>
      <c r="L57" s="153">
        <f t="shared" si="1"/>
        <v>45908</v>
      </c>
      <c r="M57" s="190" t="s">
        <v>349</v>
      </c>
      <c r="N57" s="153">
        <f t="shared" si="2"/>
        <v>45913</v>
      </c>
      <c r="O57" s="153">
        <f t="shared" si="6"/>
        <v>45918</v>
      </c>
      <c r="P57" s="151">
        <v>16</v>
      </c>
      <c r="Q57" s="153">
        <v>46030</v>
      </c>
      <c r="R57" s="153">
        <v>46030</v>
      </c>
      <c r="S57" s="151"/>
    </row>
    <row r="58" spans="2:19" ht="14.9" customHeight="1">
      <c r="B58" s="169">
        <v>54</v>
      </c>
      <c r="C58" s="148" t="s">
        <v>268</v>
      </c>
      <c r="D58" s="149"/>
      <c r="E58" s="150">
        <v>56</v>
      </c>
      <c r="F58" s="150">
        <v>0</v>
      </c>
      <c r="G58" s="150">
        <f t="shared" si="7"/>
        <v>56</v>
      </c>
      <c r="H58" s="151" t="s">
        <v>269</v>
      </c>
      <c r="I58" s="151">
        <v>157140</v>
      </c>
      <c r="J58" s="151" t="s">
        <v>76</v>
      </c>
      <c r="K58" s="152" t="s">
        <v>238</v>
      </c>
      <c r="L58" s="153">
        <f t="shared" si="1"/>
        <v>45915</v>
      </c>
      <c r="M58" s="206" t="s">
        <v>295</v>
      </c>
      <c r="N58" s="153">
        <f t="shared" si="2"/>
        <v>45920</v>
      </c>
      <c r="O58" s="153">
        <f t="shared" si="6"/>
        <v>45925</v>
      </c>
      <c r="P58" s="151">
        <v>16</v>
      </c>
      <c r="Q58" s="153">
        <v>46037</v>
      </c>
      <c r="R58" s="153">
        <v>45981</v>
      </c>
      <c r="S58" s="151"/>
    </row>
    <row r="59" spans="2:19" ht="14.9" customHeight="1">
      <c r="B59" s="169">
        <v>55</v>
      </c>
      <c r="C59" s="148" t="s">
        <v>307</v>
      </c>
      <c r="D59" s="149"/>
      <c r="E59" s="150">
        <v>426</v>
      </c>
      <c r="F59" s="150">
        <v>325</v>
      </c>
      <c r="G59" s="150">
        <f t="shared" si="7"/>
        <v>101</v>
      </c>
      <c r="H59" s="192" t="s">
        <v>372</v>
      </c>
      <c r="I59" s="192">
        <v>1900000</v>
      </c>
      <c r="J59" s="151" t="s">
        <v>76</v>
      </c>
      <c r="K59" s="214" t="s">
        <v>276</v>
      </c>
      <c r="L59" s="153">
        <f t="shared" si="1"/>
        <v>45985</v>
      </c>
      <c r="M59" s="177" t="s">
        <v>239</v>
      </c>
      <c r="N59" s="153">
        <f t="shared" si="2"/>
        <v>45990</v>
      </c>
      <c r="O59" s="153">
        <f t="shared" si="6"/>
        <v>45995</v>
      </c>
      <c r="P59" s="151">
        <v>6</v>
      </c>
      <c r="Q59" s="174">
        <v>46037</v>
      </c>
      <c r="R59" s="174">
        <v>46043</v>
      </c>
      <c r="S59" s="151"/>
    </row>
    <row r="60" spans="2:19" ht="14.9" customHeight="1">
      <c r="B60" s="169">
        <v>56</v>
      </c>
      <c r="C60" s="148" t="s">
        <v>283</v>
      </c>
      <c r="D60" s="149"/>
      <c r="E60" s="150">
        <v>37</v>
      </c>
      <c r="F60" s="150">
        <v>25</v>
      </c>
      <c r="G60" s="150">
        <f t="shared" si="7"/>
        <v>12</v>
      </c>
      <c r="H60" s="159" t="s">
        <v>284</v>
      </c>
      <c r="I60" s="159">
        <v>135000</v>
      </c>
      <c r="J60" s="151" t="s">
        <v>76</v>
      </c>
      <c r="K60" s="214" t="s">
        <v>245</v>
      </c>
      <c r="L60" s="153">
        <f t="shared" si="1"/>
        <v>45927</v>
      </c>
      <c r="M60" s="204" t="s">
        <v>350</v>
      </c>
      <c r="N60" s="153">
        <f t="shared" si="2"/>
        <v>45932</v>
      </c>
      <c r="O60" s="153">
        <f t="shared" si="6"/>
        <v>45937</v>
      </c>
      <c r="P60" s="151">
        <v>12</v>
      </c>
      <c r="Q60" s="153">
        <v>46021</v>
      </c>
      <c r="R60" s="153">
        <v>46028</v>
      </c>
      <c r="S60" s="151"/>
    </row>
    <row r="61" spans="2:19" ht="14.9" customHeight="1">
      <c r="B61" s="169">
        <v>57</v>
      </c>
      <c r="C61" s="148" t="s">
        <v>264</v>
      </c>
      <c r="D61" s="149"/>
      <c r="E61" s="150">
        <v>69</v>
      </c>
      <c r="F61" s="150">
        <v>69</v>
      </c>
      <c r="G61" s="150">
        <f t="shared" si="7"/>
        <v>0</v>
      </c>
      <c r="H61" s="151" t="s">
        <v>265</v>
      </c>
      <c r="I61" s="151">
        <v>3800000</v>
      </c>
      <c r="J61" s="151" t="s">
        <v>83</v>
      </c>
      <c r="K61" s="214" t="s">
        <v>276</v>
      </c>
      <c r="L61" s="153">
        <f t="shared" si="1"/>
        <v>45930</v>
      </c>
      <c r="M61" s="177" t="s">
        <v>239</v>
      </c>
      <c r="N61" s="153">
        <f t="shared" si="2"/>
        <v>45935</v>
      </c>
      <c r="O61" s="153">
        <f t="shared" si="6"/>
        <v>45940</v>
      </c>
      <c r="P61" s="151">
        <v>16</v>
      </c>
      <c r="Q61" s="153">
        <v>46052</v>
      </c>
      <c r="R61" s="153">
        <v>46037</v>
      </c>
      <c r="S61" s="151"/>
    </row>
    <row r="62" spans="2:19" ht="14.9" customHeight="1">
      <c r="B62" s="169">
        <v>58</v>
      </c>
      <c r="C62" s="148" t="s">
        <v>315</v>
      </c>
      <c r="D62" s="149"/>
      <c r="E62" s="150">
        <v>1160</v>
      </c>
      <c r="F62" s="150">
        <v>1160</v>
      </c>
      <c r="G62" s="150">
        <f t="shared" si="7"/>
        <v>0</v>
      </c>
      <c r="H62" s="151" t="s">
        <v>316</v>
      </c>
      <c r="I62" s="151">
        <v>580000</v>
      </c>
      <c r="J62" s="151" t="s">
        <v>76</v>
      </c>
      <c r="K62" s="214" t="s">
        <v>276</v>
      </c>
      <c r="L62" s="153">
        <f t="shared" si="1"/>
        <v>45970</v>
      </c>
      <c r="M62" s="177" t="s">
        <v>239</v>
      </c>
      <c r="N62" s="153">
        <f t="shared" si="2"/>
        <v>45975</v>
      </c>
      <c r="O62" s="153">
        <f t="shared" si="6"/>
        <v>45980</v>
      </c>
      <c r="P62" s="151">
        <v>6</v>
      </c>
      <c r="Q62" s="153">
        <v>46022</v>
      </c>
      <c r="R62" s="153">
        <v>46022</v>
      </c>
      <c r="S62" s="151"/>
    </row>
    <row r="63" spans="2:19" ht="14.9" customHeight="1">
      <c r="B63" s="169">
        <v>59</v>
      </c>
      <c r="C63" s="148" t="s">
        <v>285</v>
      </c>
      <c r="D63" s="149"/>
      <c r="E63" s="150">
        <v>14</v>
      </c>
      <c r="F63" s="150">
        <v>0</v>
      </c>
      <c r="G63" s="150">
        <f t="shared" si="7"/>
        <v>14</v>
      </c>
      <c r="H63" s="159" t="s">
        <v>286</v>
      </c>
      <c r="I63" s="159">
        <v>75300</v>
      </c>
      <c r="J63" s="151" t="s">
        <v>76</v>
      </c>
      <c r="K63" s="214" t="s">
        <v>276</v>
      </c>
      <c r="L63" s="153">
        <f t="shared" si="1"/>
        <v>45902</v>
      </c>
      <c r="M63" s="206" t="s">
        <v>295</v>
      </c>
      <c r="N63" s="153">
        <f t="shared" si="2"/>
        <v>45907</v>
      </c>
      <c r="O63" s="153">
        <f t="shared" si="6"/>
        <v>45912</v>
      </c>
      <c r="P63" s="151">
        <v>12</v>
      </c>
      <c r="Q63" s="153">
        <v>45996</v>
      </c>
      <c r="R63" s="153">
        <v>45976</v>
      </c>
      <c r="S63" s="151"/>
    </row>
    <row r="64" spans="2:19" ht="14.5">
      <c r="B64" s="169">
        <v>60</v>
      </c>
      <c r="C64" s="199" t="s">
        <v>386</v>
      </c>
      <c r="D64" s="149"/>
      <c r="E64" s="150">
        <v>72</v>
      </c>
      <c r="F64" s="150">
        <v>72</v>
      </c>
      <c r="G64" s="150">
        <f t="shared" si="7"/>
        <v>0</v>
      </c>
      <c r="H64" s="201" t="s">
        <v>387</v>
      </c>
      <c r="I64" s="201">
        <v>200000</v>
      </c>
      <c r="J64" s="215" t="s">
        <v>83</v>
      </c>
      <c r="K64" s="215" t="s">
        <v>276</v>
      </c>
      <c r="L64" s="153">
        <f t="shared" si="1"/>
        <v>46012</v>
      </c>
      <c r="M64" s="177" t="s">
        <v>239</v>
      </c>
      <c r="N64" s="153">
        <f t="shared" si="2"/>
        <v>46017</v>
      </c>
      <c r="O64" s="153">
        <f t="shared" si="6"/>
        <v>46022</v>
      </c>
      <c r="P64" s="151">
        <v>6</v>
      </c>
      <c r="Q64" s="154">
        <v>46064</v>
      </c>
      <c r="R64" s="154">
        <v>46064</v>
      </c>
      <c r="S64" s="151"/>
    </row>
    <row r="65" spans="2:19" ht="14.5">
      <c r="B65" s="169">
        <v>61</v>
      </c>
      <c r="C65" s="216" t="s">
        <v>392</v>
      </c>
      <c r="D65" s="149"/>
      <c r="E65" s="150">
        <v>30</v>
      </c>
      <c r="F65" s="150">
        <v>3</v>
      </c>
      <c r="G65" s="150">
        <f t="shared" si="7"/>
        <v>27</v>
      </c>
      <c r="H65" s="151" t="s">
        <v>237</v>
      </c>
      <c r="I65" s="213">
        <v>22284538.8655819</v>
      </c>
      <c r="J65" s="151" t="s">
        <v>83</v>
      </c>
      <c r="K65" s="152" t="s">
        <v>238</v>
      </c>
      <c r="L65" s="153">
        <f t="shared" si="1"/>
        <v>45934</v>
      </c>
      <c r="M65" s="204" t="s">
        <v>350</v>
      </c>
      <c r="N65" s="153">
        <f t="shared" si="2"/>
        <v>45939</v>
      </c>
      <c r="O65" s="153">
        <f t="shared" si="6"/>
        <v>45944</v>
      </c>
      <c r="P65" s="151">
        <v>14</v>
      </c>
      <c r="Q65" s="153">
        <v>46042</v>
      </c>
      <c r="R65" s="174">
        <v>46038</v>
      </c>
      <c r="S65" s="151"/>
    </row>
    <row r="66" spans="2:19" ht="14.5">
      <c r="B66" s="169">
        <v>62</v>
      </c>
      <c r="C66" s="193" t="s">
        <v>367</v>
      </c>
      <c r="D66" s="149"/>
      <c r="E66" s="150">
        <v>4576</v>
      </c>
      <c r="F66" s="150">
        <v>1463</v>
      </c>
      <c r="G66" s="150">
        <f t="shared" si="7"/>
        <v>3113</v>
      </c>
      <c r="H66" s="151" t="s">
        <v>343</v>
      </c>
      <c r="I66" s="151">
        <v>3098755</v>
      </c>
      <c r="J66" s="151" t="s">
        <v>303</v>
      </c>
      <c r="K66" s="214" t="s">
        <v>276</v>
      </c>
      <c r="L66" s="153">
        <f t="shared" si="1"/>
        <v>45948</v>
      </c>
      <c r="M66" s="204" t="s">
        <v>350</v>
      </c>
      <c r="N66" s="153">
        <f t="shared" si="2"/>
        <v>45953</v>
      </c>
      <c r="O66" s="153">
        <f t="shared" si="6"/>
        <v>45958</v>
      </c>
      <c r="P66" s="151">
        <v>12</v>
      </c>
      <c r="Q66" s="175">
        <v>46042</v>
      </c>
      <c r="R66" s="175">
        <v>46042</v>
      </c>
      <c r="S66" s="151"/>
    </row>
    <row r="67" spans="2:19" ht="14.5">
      <c r="B67" s="169">
        <v>63</v>
      </c>
      <c r="C67" s="148" t="s">
        <v>304</v>
      </c>
      <c r="D67" s="149"/>
      <c r="E67" s="150">
        <v>52</v>
      </c>
      <c r="F67" s="150">
        <v>20</v>
      </c>
      <c r="G67" s="150">
        <f t="shared" si="7"/>
        <v>32</v>
      </c>
      <c r="H67" s="151" t="s">
        <v>305</v>
      </c>
      <c r="I67" s="151">
        <v>954000</v>
      </c>
      <c r="J67" s="151" t="s">
        <v>76</v>
      </c>
      <c r="K67" s="214" t="s">
        <v>276</v>
      </c>
      <c r="L67" s="153">
        <f t="shared" si="1"/>
        <v>45988</v>
      </c>
      <c r="M67" s="204" t="s">
        <v>350</v>
      </c>
      <c r="N67" s="153">
        <f t="shared" si="2"/>
        <v>45993</v>
      </c>
      <c r="O67" s="153">
        <f t="shared" si="6"/>
        <v>45998</v>
      </c>
      <c r="P67" s="151">
        <v>10</v>
      </c>
      <c r="Q67" s="187">
        <v>46068</v>
      </c>
      <c r="R67" s="187">
        <v>46066</v>
      </c>
      <c r="S67" s="151"/>
    </row>
    <row r="68" spans="2:19" ht="14.5">
      <c r="B68" s="169">
        <v>64</v>
      </c>
      <c r="C68" s="148" t="s">
        <v>250</v>
      </c>
      <c r="D68" s="170"/>
      <c r="E68" s="150">
        <v>9</v>
      </c>
      <c r="F68" s="150">
        <v>9</v>
      </c>
      <c r="G68" s="150">
        <f t="shared" si="7"/>
        <v>0</v>
      </c>
      <c r="H68" s="151" t="s">
        <v>177</v>
      </c>
      <c r="I68" s="151">
        <v>5040000</v>
      </c>
      <c r="J68" s="151" t="s">
        <v>76</v>
      </c>
      <c r="K68" s="152" t="s">
        <v>245</v>
      </c>
      <c r="L68" s="153">
        <f t="shared" si="1"/>
        <v>45915</v>
      </c>
      <c r="M68" s="177" t="s">
        <v>239</v>
      </c>
      <c r="N68" s="153">
        <f t="shared" si="2"/>
        <v>45920</v>
      </c>
      <c r="O68" s="153">
        <f t="shared" si="6"/>
        <v>45925</v>
      </c>
      <c r="P68" s="151">
        <v>16</v>
      </c>
      <c r="Q68" s="174">
        <v>46037</v>
      </c>
      <c r="R68" s="174">
        <v>46037</v>
      </c>
      <c r="S68" s="149"/>
    </row>
    <row r="69" spans="2:19" ht="14.5">
      <c r="B69" s="169">
        <v>65</v>
      </c>
      <c r="C69" s="216" t="s">
        <v>396</v>
      </c>
      <c r="D69" s="149"/>
      <c r="E69" s="150">
        <v>8</v>
      </c>
      <c r="F69" s="150">
        <v>8</v>
      </c>
      <c r="G69" s="150">
        <f t="shared" ref="G69:G100" si="8">E69-F69</f>
        <v>0</v>
      </c>
      <c r="H69" s="151" t="s">
        <v>257</v>
      </c>
      <c r="I69" s="151">
        <v>27000000</v>
      </c>
      <c r="J69" s="151" t="s">
        <v>83</v>
      </c>
      <c r="K69" s="214" t="s">
        <v>243</v>
      </c>
      <c r="L69" s="153">
        <f t="shared" si="1"/>
        <v>45939</v>
      </c>
      <c r="M69" s="177" t="s">
        <v>239</v>
      </c>
      <c r="N69" s="153">
        <f t="shared" si="2"/>
        <v>45944</v>
      </c>
      <c r="O69" s="153">
        <f t="shared" si="6"/>
        <v>45949</v>
      </c>
      <c r="P69" s="151">
        <v>14</v>
      </c>
      <c r="Q69" s="153">
        <v>46047</v>
      </c>
      <c r="R69" s="153">
        <v>46047</v>
      </c>
      <c r="S69" s="149"/>
    </row>
    <row r="70" spans="2:19" ht="15" customHeight="1">
      <c r="B70" s="169">
        <v>66</v>
      </c>
      <c r="C70" s="148" t="s">
        <v>309</v>
      </c>
      <c r="D70" s="149"/>
      <c r="E70" s="150">
        <v>1</v>
      </c>
      <c r="F70" s="150">
        <v>1</v>
      </c>
      <c r="G70" s="150">
        <f t="shared" si="8"/>
        <v>0</v>
      </c>
      <c r="H70" s="151" t="s">
        <v>310</v>
      </c>
      <c r="I70" s="151">
        <v>8200000</v>
      </c>
      <c r="J70" s="151" t="s">
        <v>76</v>
      </c>
      <c r="K70" s="214" t="s">
        <v>243</v>
      </c>
      <c r="L70" s="153">
        <f t="shared" ref="L70:L81" si="9">N70-5</f>
        <v>45979</v>
      </c>
      <c r="M70" s="177" t="s">
        <v>239</v>
      </c>
      <c r="N70" s="153">
        <f t="shared" ref="N70:N81" si="10">O70-5</f>
        <v>45984</v>
      </c>
      <c r="O70" s="153">
        <f t="shared" si="6"/>
        <v>45989</v>
      </c>
      <c r="P70" s="151">
        <v>12</v>
      </c>
      <c r="Q70" s="153">
        <v>46073</v>
      </c>
      <c r="R70" s="153">
        <v>46073</v>
      </c>
      <c r="S70" s="151"/>
    </row>
    <row r="71" spans="2:19" ht="15" customHeight="1">
      <c r="B71" s="169">
        <v>67</v>
      </c>
      <c r="C71" s="148" t="s">
        <v>299</v>
      </c>
      <c r="D71" s="149"/>
      <c r="E71" s="150">
        <v>1</v>
      </c>
      <c r="F71" s="150">
        <v>0</v>
      </c>
      <c r="G71" s="150">
        <f t="shared" si="8"/>
        <v>1</v>
      </c>
      <c r="H71" s="151" t="s">
        <v>300</v>
      </c>
      <c r="I71" s="151">
        <v>7727415</v>
      </c>
      <c r="J71" s="151" t="s">
        <v>253</v>
      </c>
      <c r="K71" s="152" t="s">
        <v>238</v>
      </c>
      <c r="L71" s="153">
        <f t="shared" si="9"/>
        <v>45930</v>
      </c>
      <c r="M71" s="206" t="s">
        <v>295</v>
      </c>
      <c r="N71" s="153">
        <f t="shared" si="10"/>
        <v>45935</v>
      </c>
      <c r="O71" s="153">
        <f t="shared" si="6"/>
        <v>45940</v>
      </c>
      <c r="P71" s="151">
        <v>16</v>
      </c>
      <c r="Q71" s="153">
        <v>46052</v>
      </c>
      <c r="R71" s="153">
        <v>46022</v>
      </c>
      <c r="S71" s="151"/>
    </row>
    <row r="72" spans="2:19" ht="15" customHeight="1">
      <c r="B72" s="169">
        <v>68</v>
      </c>
      <c r="C72" s="193" t="s">
        <v>361</v>
      </c>
      <c r="D72" s="170"/>
      <c r="E72" s="150">
        <v>8</v>
      </c>
      <c r="F72" s="150">
        <v>8</v>
      </c>
      <c r="G72" s="150">
        <f t="shared" si="8"/>
        <v>0</v>
      </c>
      <c r="H72" s="176" t="s">
        <v>249</v>
      </c>
      <c r="I72" s="176">
        <v>12731040</v>
      </c>
      <c r="J72" s="151" t="s">
        <v>76</v>
      </c>
      <c r="K72" s="152" t="s">
        <v>243</v>
      </c>
      <c r="L72" s="153">
        <f t="shared" si="9"/>
        <v>45951</v>
      </c>
      <c r="M72" s="177" t="s">
        <v>239</v>
      </c>
      <c r="N72" s="153">
        <f t="shared" si="10"/>
        <v>45956</v>
      </c>
      <c r="O72" s="153">
        <f t="shared" si="6"/>
        <v>45961</v>
      </c>
      <c r="P72" s="151">
        <v>16</v>
      </c>
      <c r="Q72" s="153">
        <v>46073</v>
      </c>
      <c r="R72" s="174">
        <v>46073</v>
      </c>
      <c r="S72" s="149"/>
    </row>
    <row r="73" spans="2:19" ht="15" customHeight="1">
      <c r="B73" s="169">
        <v>69</v>
      </c>
      <c r="C73" s="148" t="s">
        <v>263</v>
      </c>
      <c r="D73" s="149"/>
      <c r="E73" s="150">
        <v>4</v>
      </c>
      <c r="F73" s="150">
        <v>4</v>
      </c>
      <c r="G73" s="150">
        <f t="shared" si="8"/>
        <v>0</v>
      </c>
      <c r="H73" s="151" t="s">
        <v>249</v>
      </c>
      <c r="I73" s="151">
        <v>9200000</v>
      </c>
      <c r="J73" s="151" t="s">
        <v>76</v>
      </c>
      <c r="K73" s="152" t="s">
        <v>238</v>
      </c>
      <c r="L73" s="153">
        <f t="shared" si="9"/>
        <v>45944</v>
      </c>
      <c r="M73" s="177" t="s">
        <v>239</v>
      </c>
      <c r="N73" s="153">
        <f t="shared" si="10"/>
        <v>45949</v>
      </c>
      <c r="O73" s="153">
        <f t="shared" si="6"/>
        <v>45954</v>
      </c>
      <c r="P73" s="151">
        <v>14</v>
      </c>
      <c r="Q73" s="153">
        <v>46052</v>
      </c>
      <c r="R73" s="188" t="s">
        <v>248</v>
      </c>
      <c r="S73" s="185"/>
    </row>
    <row r="74" spans="2:19" ht="15" customHeight="1">
      <c r="B74" s="169">
        <v>70</v>
      </c>
      <c r="C74" s="193" t="s">
        <v>366</v>
      </c>
      <c r="D74" s="149"/>
      <c r="E74" s="150">
        <v>73</v>
      </c>
      <c r="F74" s="150">
        <v>0</v>
      </c>
      <c r="G74" s="150">
        <f t="shared" si="8"/>
        <v>73</v>
      </c>
      <c r="H74" s="176" t="s">
        <v>342</v>
      </c>
      <c r="I74" s="176">
        <v>1144932</v>
      </c>
      <c r="J74" s="215" t="s">
        <v>83</v>
      </c>
      <c r="K74" s="215" t="s">
        <v>276</v>
      </c>
      <c r="L74" s="153">
        <f t="shared" si="9"/>
        <v>45930</v>
      </c>
      <c r="M74" s="177" t="s">
        <v>239</v>
      </c>
      <c r="N74" s="153">
        <f t="shared" si="10"/>
        <v>45935</v>
      </c>
      <c r="O74" s="153">
        <f t="shared" si="6"/>
        <v>45940</v>
      </c>
      <c r="P74" s="151">
        <v>8</v>
      </c>
      <c r="Q74" s="153">
        <v>45996</v>
      </c>
      <c r="R74" s="153">
        <v>45987</v>
      </c>
      <c r="S74" s="151"/>
    </row>
    <row r="75" spans="2:19" ht="15" customHeight="1">
      <c r="B75" s="169">
        <v>71</v>
      </c>
      <c r="C75" s="148" t="s">
        <v>333</v>
      </c>
      <c r="D75" s="149"/>
      <c r="E75" s="150">
        <v>13</v>
      </c>
      <c r="F75" s="150">
        <v>13</v>
      </c>
      <c r="G75" s="150">
        <f t="shared" si="8"/>
        <v>0</v>
      </c>
      <c r="H75" s="192" t="s">
        <v>376</v>
      </c>
      <c r="I75" s="192">
        <v>325000</v>
      </c>
      <c r="J75" s="215" t="s">
        <v>83</v>
      </c>
      <c r="K75" s="215" t="s">
        <v>276</v>
      </c>
      <c r="L75" s="153">
        <f t="shared" si="9"/>
        <v>45986</v>
      </c>
      <c r="M75" s="177" t="s">
        <v>239</v>
      </c>
      <c r="N75" s="153">
        <f t="shared" si="10"/>
        <v>45991</v>
      </c>
      <c r="O75" s="153">
        <f t="shared" si="6"/>
        <v>45996</v>
      </c>
      <c r="P75" s="151">
        <v>8</v>
      </c>
      <c r="Q75" s="153">
        <v>46052</v>
      </c>
      <c r="R75" s="153">
        <v>46058</v>
      </c>
      <c r="S75" s="151"/>
    </row>
    <row r="76" spans="2:19" ht="15" customHeight="1">
      <c r="B76" s="169">
        <v>72</v>
      </c>
      <c r="C76" s="148" t="s">
        <v>290</v>
      </c>
      <c r="D76" s="149"/>
      <c r="E76" s="150">
        <v>41</v>
      </c>
      <c r="F76" s="150">
        <v>41</v>
      </c>
      <c r="G76" s="150">
        <f t="shared" si="8"/>
        <v>0</v>
      </c>
      <c r="H76" s="151" t="s">
        <v>252</v>
      </c>
      <c r="I76" s="218">
        <v>19685646.81818182</v>
      </c>
      <c r="J76" s="151" t="s">
        <v>253</v>
      </c>
      <c r="K76" s="152" t="s">
        <v>238</v>
      </c>
      <c r="L76" s="153">
        <f t="shared" si="9"/>
        <v>45944</v>
      </c>
      <c r="M76" s="177" t="s">
        <v>239</v>
      </c>
      <c r="N76" s="153">
        <f t="shared" si="10"/>
        <v>45949</v>
      </c>
      <c r="O76" s="153">
        <f t="shared" si="6"/>
        <v>45954</v>
      </c>
      <c r="P76" s="151">
        <v>14</v>
      </c>
      <c r="Q76" s="153">
        <v>46052</v>
      </c>
      <c r="R76" s="186">
        <v>46073</v>
      </c>
      <c r="S76" s="183"/>
    </row>
    <row r="77" spans="2:19" ht="15" customHeight="1">
      <c r="B77" s="169">
        <v>73</v>
      </c>
      <c r="C77" s="148" t="s">
        <v>251</v>
      </c>
      <c r="D77" s="149"/>
      <c r="E77" s="150">
        <v>91</v>
      </c>
      <c r="F77" s="150">
        <v>91</v>
      </c>
      <c r="G77" s="150">
        <f t="shared" si="8"/>
        <v>0</v>
      </c>
      <c r="H77" s="151" t="s">
        <v>252</v>
      </c>
      <c r="I77" s="213">
        <v>43692533.181818187</v>
      </c>
      <c r="J77" s="151" t="s">
        <v>253</v>
      </c>
      <c r="K77" s="152" t="s">
        <v>238</v>
      </c>
      <c r="L77" s="153">
        <f t="shared" si="9"/>
        <v>45944</v>
      </c>
      <c r="M77" s="177" t="s">
        <v>239</v>
      </c>
      <c r="N77" s="153">
        <f t="shared" si="10"/>
        <v>45949</v>
      </c>
      <c r="O77" s="153">
        <f t="shared" si="6"/>
        <v>45954</v>
      </c>
      <c r="P77" s="151">
        <v>14</v>
      </c>
      <c r="Q77" s="153">
        <v>46052</v>
      </c>
      <c r="R77" s="186">
        <v>46073</v>
      </c>
      <c r="S77" s="183"/>
    </row>
    <row r="78" spans="2:19" ht="15" customHeight="1">
      <c r="B78" s="169">
        <v>74</v>
      </c>
      <c r="C78" s="193" t="s">
        <v>355</v>
      </c>
      <c r="D78" s="149"/>
      <c r="E78" s="150">
        <v>91</v>
      </c>
      <c r="F78" s="150">
        <v>91</v>
      </c>
      <c r="G78" s="150">
        <f t="shared" si="8"/>
        <v>0</v>
      </c>
      <c r="H78" s="192" t="s">
        <v>252</v>
      </c>
      <c r="I78" s="192">
        <v>3640000</v>
      </c>
      <c r="J78" s="215" t="s">
        <v>76</v>
      </c>
      <c r="K78" s="215" t="s">
        <v>238</v>
      </c>
      <c r="L78" s="153">
        <f t="shared" si="9"/>
        <v>45944</v>
      </c>
      <c r="M78" s="177" t="s">
        <v>239</v>
      </c>
      <c r="N78" s="153">
        <f t="shared" si="10"/>
        <v>45949</v>
      </c>
      <c r="O78" s="153">
        <f t="shared" si="6"/>
        <v>45954</v>
      </c>
      <c r="P78" s="151">
        <v>14</v>
      </c>
      <c r="Q78" s="153">
        <v>46052</v>
      </c>
      <c r="R78" s="186">
        <v>46073</v>
      </c>
      <c r="S78" s="151"/>
    </row>
    <row r="79" spans="2:19" ht="15" customHeight="1">
      <c r="B79" s="169">
        <v>75</v>
      </c>
      <c r="C79" s="148" t="s">
        <v>277</v>
      </c>
      <c r="D79" s="149"/>
      <c r="E79" s="150">
        <v>155</v>
      </c>
      <c r="F79" s="150">
        <v>129</v>
      </c>
      <c r="G79" s="150">
        <f t="shared" si="8"/>
        <v>26</v>
      </c>
      <c r="H79" s="192" t="s">
        <v>371</v>
      </c>
      <c r="I79" s="192">
        <v>1020000</v>
      </c>
      <c r="J79" s="151" t="s">
        <v>76</v>
      </c>
      <c r="K79" s="214" t="s">
        <v>276</v>
      </c>
      <c r="L79" s="153">
        <f t="shared" si="9"/>
        <v>45969</v>
      </c>
      <c r="M79" s="177" t="s">
        <v>239</v>
      </c>
      <c r="N79" s="153">
        <f t="shared" si="10"/>
        <v>45974</v>
      </c>
      <c r="O79" s="153">
        <f t="shared" ref="O79:O81" si="11">+Q79-(P79*7)</f>
        <v>45979</v>
      </c>
      <c r="P79" s="151">
        <v>6</v>
      </c>
      <c r="Q79" s="153">
        <v>46021</v>
      </c>
      <c r="R79" s="153">
        <v>46021</v>
      </c>
      <c r="S79" s="151"/>
    </row>
    <row r="80" spans="2:19" ht="15" customHeight="1">
      <c r="B80" s="169">
        <v>76</v>
      </c>
      <c r="C80" s="148" t="s">
        <v>266</v>
      </c>
      <c r="D80" s="149"/>
      <c r="E80" s="150">
        <v>20</v>
      </c>
      <c r="F80" s="150">
        <v>20</v>
      </c>
      <c r="G80" s="150">
        <f t="shared" si="8"/>
        <v>0</v>
      </c>
      <c r="H80" s="151" t="s">
        <v>267</v>
      </c>
      <c r="I80" s="151">
        <v>1646784</v>
      </c>
      <c r="J80" s="151" t="s">
        <v>76</v>
      </c>
      <c r="K80" s="152" t="s">
        <v>238</v>
      </c>
      <c r="L80" s="153">
        <f t="shared" si="9"/>
        <v>45939</v>
      </c>
      <c r="M80" s="190" t="s">
        <v>348</v>
      </c>
      <c r="N80" s="153">
        <f t="shared" si="10"/>
        <v>45944</v>
      </c>
      <c r="O80" s="153">
        <f t="shared" si="11"/>
        <v>45949</v>
      </c>
      <c r="P80" s="151">
        <v>14</v>
      </c>
      <c r="Q80" s="153">
        <v>46047</v>
      </c>
      <c r="R80" s="153">
        <v>46045</v>
      </c>
      <c r="S80" s="151"/>
    </row>
    <row r="81" spans="2:19" ht="15" customHeight="1">
      <c r="B81" s="169">
        <v>77</v>
      </c>
      <c r="C81" s="148" t="s">
        <v>332</v>
      </c>
      <c r="D81" s="149"/>
      <c r="E81" s="150">
        <v>2200</v>
      </c>
      <c r="F81" s="150">
        <v>2200</v>
      </c>
      <c r="G81" s="150">
        <f t="shared" si="8"/>
        <v>0</v>
      </c>
      <c r="H81" s="192" t="s">
        <v>375</v>
      </c>
      <c r="I81" s="192">
        <v>777600</v>
      </c>
      <c r="J81" s="151" t="s">
        <v>83</v>
      </c>
      <c r="K81" s="214" t="s">
        <v>276</v>
      </c>
      <c r="L81" s="153">
        <f t="shared" si="9"/>
        <v>45986</v>
      </c>
      <c r="M81" s="177" t="s">
        <v>239</v>
      </c>
      <c r="N81" s="153">
        <f t="shared" si="10"/>
        <v>45991</v>
      </c>
      <c r="O81" s="153">
        <f t="shared" si="11"/>
        <v>45996</v>
      </c>
      <c r="P81" s="151">
        <v>8</v>
      </c>
      <c r="Q81" s="153">
        <v>46052</v>
      </c>
      <c r="R81" s="153">
        <v>46042</v>
      </c>
      <c r="S81" s="151"/>
    </row>
    <row r="83" spans="2:19" ht="15" customHeight="1">
      <c r="I83" s="217"/>
    </row>
  </sheetData>
  <autoFilter ref="B4:S81" xr:uid="{00000000-0009-0000-0000-000003000000}"/>
  <mergeCells count="2">
    <mergeCell ref="B2:H3"/>
    <mergeCell ref="O2:S3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6729E705642D146B225B65856831419" ma:contentTypeVersion="3" ma:contentTypeDescription="Ein neues Dokument erstellen." ma:contentTypeScope="" ma:versionID="a1a0b41e393b5ce6f0798efc066f6861">
  <xsd:schema xmlns:xsd="http://www.w3.org/2001/XMLSchema" xmlns:xs="http://www.w3.org/2001/XMLSchema" xmlns:p="http://schemas.microsoft.com/office/2006/metadata/properties" xmlns:ns2="20bf828b-a682-4613-a646-f8587e9b3ee8" targetNamespace="http://schemas.microsoft.com/office/2006/metadata/properties" ma:root="true" ma:fieldsID="32a8a89ac36e101f11a24988dd3f438a" ns2:_="">
    <xsd:import namespace="20bf828b-a682-4613-a646-f8587e9b3e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f828b-a682-4613-a646-f8587e9b3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61C3DA-859D-44DB-824F-3A30AD4E92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bf828b-a682-4613-a646-f8587e9b3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9CC305-AAF3-4899-A0B1-4B887CC280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3B716-0BC2-4BB3-AC35-99E6B7D0A719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20bf828b-a682-4613-a646-f8587e9b3ee8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3cf2a9b2-0cdb-4e78-9335-2adc17c4674f}" enabled="0" method="" siteId="{3cf2a9b2-0cdb-4e78-9335-2adc17c467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LOP </vt:lpstr>
      <vt:lpstr>M Z121 Schedule</vt:lpstr>
      <vt:lpstr>Procurement Plan </vt:lpstr>
      <vt:lpstr>'M Z121 Schedule'!Print_Area</vt:lpstr>
      <vt:lpstr>'M Z121 Schedule'!Print_Titles</vt:lpstr>
      <vt:lpstr>'M Z121 Schedule'!task_end</vt:lpstr>
      <vt:lpstr>'M Z121 Schedule'!task_progress</vt:lpstr>
      <vt:lpstr>'M Z121 Schedule'!task_start</vt:lpstr>
      <vt:lpstr>'M Z121 Schedule'!today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admin1</dc:creator>
  <cp:keywords/>
  <dc:description/>
  <cp:lastModifiedBy>Chaitanya Mirpagar</cp:lastModifiedBy>
  <cp:revision/>
  <dcterms:created xsi:type="dcterms:W3CDTF">2020-04-29T14:10:00Z</dcterms:created>
  <dcterms:modified xsi:type="dcterms:W3CDTF">2026-02-26T12:00:46Z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A23C060ACE4F444BAEE2F225DC7333D6</vt:lpwstr>
  </property>
  <property fmtid="{D5CDD505-2E9C-101B-9397-08002B2CF9AE}" pid="3" name="KSOProductBuildVer">
    <vt:lpwstr>1033-11.2.0.9684</vt:lpwstr>
  </property>
  <property fmtid="{D5CDD505-2E9C-101B-9397-08002B2CF9AE}" pid="4" name="KSOReadingLayout">
    <vt:bool>true</vt:bool>
  </property>
  <property fmtid="{D5CDD505-2E9C-101B-9397-08002B2CF9AE}" pid="5" name="ContentTypeId">
    <vt:lpwstr>0x01010046729E705642D146B225B65856831419</vt:lpwstr>
  </property>
</Properties>
</file>