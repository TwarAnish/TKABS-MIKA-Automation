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chikask\Documents\"/>
    </mc:Choice>
  </mc:AlternateContent>
  <xr:revisionPtr revIDLastSave="0" documentId="8_{F0365997-6BB6-45AA-A5E5-45002B6DCD69}" xr6:coauthVersionLast="47" xr6:coauthVersionMax="47" xr10:uidLastSave="{00000000-0000-0000-0000-000000000000}"/>
  <bookViews>
    <workbookView xWindow="-108" yWindow="-108" windowWidth="23256" windowHeight="13896" xr2:uid="{4D397C54-BC7A-4782-A6BF-89E6BEAFCB0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18" i="1" l="1"/>
  <c r="L18" i="1"/>
  <c r="K18" i="1"/>
  <c r="J18" i="1"/>
  <c r="M14" i="1"/>
  <c r="L14" i="1"/>
  <c r="K14" i="1"/>
  <c r="J14" i="1"/>
  <c r="M13" i="1"/>
  <c r="L13" i="1"/>
  <c r="K13" i="1"/>
  <c r="J13" i="1"/>
  <c r="K11" i="1"/>
  <c r="K12" i="1"/>
  <c r="L12" i="1"/>
  <c r="M12" i="1"/>
  <c r="J12" i="1"/>
  <c r="K10" i="1"/>
  <c r="L10" i="1"/>
  <c r="M10" i="1"/>
  <c r="J10" i="1"/>
  <c r="K9" i="1"/>
  <c r="L9" i="1"/>
  <c r="M9" i="1"/>
  <c r="J9" i="1"/>
  <c r="K8" i="1"/>
  <c r="L8" i="1"/>
  <c r="M8" i="1"/>
  <c r="J8" i="1"/>
  <c r="K7" i="1"/>
  <c r="L7" i="1"/>
  <c r="M7" i="1"/>
  <c r="J7" i="1"/>
  <c r="K6" i="1"/>
  <c r="L6" i="1"/>
  <c r="M6" i="1"/>
  <c r="J6" i="1"/>
  <c r="K5" i="1"/>
  <c r="L5" i="1"/>
  <c r="M5" i="1"/>
  <c r="J5" i="1"/>
  <c r="K4" i="1"/>
  <c r="L4" i="1"/>
  <c r="M4" i="1"/>
  <c r="J4" i="1"/>
  <c r="L11" i="1" l="1"/>
  <c r="L19" i="1" s="1"/>
  <c r="L20" i="1" s="1"/>
  <c r="J11" i="1"/>
  <c r="J19" i="1" s="1"/>
  <c r="J20" i="1" s="1"/>
  <c r="M11" i="1"/>
  <c r="M19" i="1"/>
  <c r="M20" i="1" s="1"/>
  <c r="K19" i="1"/>
  <c r="K20" i="1" s="1"/>
</calcChain>
</file>

<file path=xl/sharedStrings.xml><?xml version="1.0" encoding="utf-8"?>
<sst xmlns="http://schemas.openxmlformats.org/spreadsheetml/2006/main" count="43" uniqueCount="38">
  <si>
    <t>Equipment</t>
  </si>
  <si>
    <t>Manhour/tool</t>
  </si>
  <si>
    <t>Fitter</t>
  </si>
  <si>
    <t>Rigger</t>
  </si>
  <si>
    <t>elect</t>
  </si>
  <si>
    <t>welder</t>
  </si>
  <si>
    <t>Tool</t>
  </si>
  <si>
    <t>Total Manhour</t>
  </si>
  <si>
    <t>Weld gun</t>
  </si>
  <si>
    <t>SSW</t>
  </si>
  <si>
    <t>Turntable</t>
  </si>
  <si>
    <t>Fixture</t>
  </si>
  <si>
    <t>ATD</t>
  </si>
  <si>
    <t>Tackle</t>
  </si>
  <si>
    <t>Electrical panels</t>
  </si>
  <si>
    <t>Other periphral</t>
  </si>
  <si>
    <t xml:space="preserve">Total </t>
  </si>
  <si>
    <t>Manday</t>
  </si>
  <si>
    <t>Mandays considered</t>
  </si>
  <si>
    <t>Welder</t>
  </si>
  <si>
    <t>Electrician</t>
  </si>
  <si>
    <t>Forklift with operator</t>
  </si>
  <si>
    <t>Crane with operator and belts</t>
  </si>
  <si>
    <t>Hand pallet</t>
  </si>
  <si>
    <t>Anchoring machine with bits</t>
  </si>
  <si>
    <t>Vaccum cleaner</t>
  </si>
  <si>
    <t xml:space="preserve">Tool box </t>
  </si>
  <si>
    <t>Safety harness</t>
  </si>
  <si>
    <t>Scaffold</t>
  </si>
  <si>
    <t>A type ladder</t>
  </si>
  <si>
    <t>Welding machine</t>
  </si>
  <si>
    <t>Extension board</t>
  </si>
  <si>
    <t>Safety Fence</t>
  </si>
  <si>
    <t>Robot + ATC</t>
  </si>
  <si>
    <t>Sealers system</t>
  </si>
  <si>
    <t>Supervisor</t>
  </si>
  <si>
    <t>Cost  per Hr</t>
  </si>
  <si>
    <t>Total Qty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</si>
</sst>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(* #,##0.00_);_(* \(#,##0.00\);_(* &quot;-&quot;??_);_(@_)"/>
  </numFmts>
  <fonts count="7" x14ac:knownFonts="1">
    <font>
      <sz val="11"/>
      <color theme="1"/>
      <name val="Aptos Narrow"/>
      <family val="2"/>
      <scheme val="minor"/>
    </font>
    <font>
      <sz val="14"/>
      <color rgb="FF000000"/>
      <name val="Calibri"/>
      <family val="2"/>
    </font>
    <font>
      <b/>
      <sz val="14"/>
      <color rgb="FF000000"/>
      <name val="Aptos Narrow"/>
      <family val="2"/>
    </font>
    <font>
      <sz val="12"/>
      <color rgb="FF000000"/>
      <name val="Calibri"/>
      <family val="2"/>
    </font>
    <font>
      <sz val="12"/>
      <name val="Arial"/>
      <family val="2"/>
    </font>
    <font>
      <sz val="14"/>
      <color rgb="FF000000"/>
      <name val="Calibri"/>
      <family val="2"/>
    </font>
    <font>
      <sz val="11"/>
      <color theme="1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9DC3E6"/>
        <bgColor indexed="64"/>
      </patternFill>
    </fill>
    <fill>
      <patternFill patternType="solid">
        <fgColor rgb="FFE9EBF5"/>
        <bgColor indexed="64"/>
      </patternFill>
    </fill>
    <fill>
      <patternFill patternType="solid">
        <fgColor theme="5" tint="0.59999389629810485"/>
        <bgColor indexed="64"/>
      </patternFill>
    </fill>
  </fills>
  <borders count="8">
    <border>
      <left/>
      <right/>
      <top/>
      <bottom/>
      <diagonal/>
    </border>
    <border>
      <left style="medium">
        <color rgb="FFFFFFFF"/>
      </left>
      <right style="medium">
        <color rgb="FFFFFFFF"/>
      </right>
      <top style="medium">
        <color rgb="FFFFFFFF"/>
      </top>
      <bottom style="medium">
        <color rgb="FFFFFFFF"/>
      </bottom>
      <diagonal/>
    </border>
    <border>
      <left style="medium">
        <color rgb="FFFFFFFF"/>
      </left>
      <right style="medium">
        <color rgb="FFFFFFFF"/>
      </right>
      <top style="medium">
        <color rgb="FFFFFFFF"/>
      </top>
      <bottom/>
      <diagonal/>
    </border>
    <border>
      <left style="medium">
        <color rgb="FFFFFFFF"/>
      </left>
      <right style="medium">
        <color rgb="FFFFFFFF"/>
      </right>
      <top/>
      <bottom style="medium">
        <color rgb="FFFFFFFF"/>
      </bottom>
      <diagonal/>
    </border>
    <border>
      <left style="medium">
        <color rgb="FFFFFFFF"/>
      </left>
      <right/>
      <top style="medium">
        <color rgb="FFFFFFFF"/>
      </top>
      <bottom/>
      <diagonal/>
    </border>
    <border>
      <left/>
      <right/>
      <top style="medium">
        <color rgb="FFFFFFFF"/>
      </top>
      <bottom/>
      <diagonal/>
    </border>
    <border>
      <left/>
      <right style="medium">
        <color rgb="FFFFFFFF"/>
      </right>
      <top style="medium">
        <color rgb="FFFFFFFF"/>
      </top>
      <bottom/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2">
    <xf numFmtId="0" fontId="0" fillId="0" borderId="0"/>
    <xf numFmtId="43" fontId="6" fillId="0" borderId="0" applyFont="0" applyFill="0" applyBorder="0" applyAlignment="0" applyProtection="0"/>
  </cellStyleXfs>
  <cellXfs count="15">
    <xf numFmtId="0" fontId="0" fillId="0" borderId="0" xfId="0"/>
    <xf numFmtId="0" fontId="1" fillId="3" borderId="1" xfId="0" applyFont="1" applyFill="1" applyBorder="1" applyAlignment="1">
      <alignment horizontal="left" wrapText="1" readingOrder="1"/>
    </xf>
    <xf numFmtId="0" fontId="2" fillId="2" borderId="1" xfId="0" applyFont="1" applyFill="1" applyBorder="1" applyAlignment="1">
      <alignment horizontal="center" vertical="center" wrapText="1" readingOrder="1"/>
    </xf>
    <xf numFmtId="0" fontId="1" fillId="3" borderId="7" xfId="0" applyFont="1" applyFill="1" applyBorder="1" applyAlignment="1">
      <alignment horizontal="left" wrapText="1" readingOrder="1"/>
    </xf>
    <xf numFmtId="0" fontId="3" fillId="3" borderId="1" xfId="0" applyFont="1" applyFill="1" applyBorder="1" applyAlignment="1">
      <alignment horizontal="center" vertical="center" wrapText="1" readingOrder="1"/>
    </xf>
    <xf numFmtId="0" fontId="4" fillId="3" borderId="1" xfId="0" applyFont="1" applyFill="1" applyBorder="1" applyAlignment="1">
      <alignment horizontal="center" vertical="center" wrapText="1"/>
    </xf>
    <xf numFmtId="0" fontId="0" fillId="0" borderId="0" xfId="0" applyAlignment="1">
      <alignment horizontal="center"/>
    </xf>
    <xf numFmtId="0" fontId="5" fillId="3" borderId="0" xfId="0" applyFont="1" applyFill="1" applyAlignment="1">
      <alignment horizontal="left" wrapText="1" readingOrder="1"/>
    </xf>
    <xf numFmtId="0" fontId="0" fillId="4" borderId="0" xfId="0" applyFill="1" applyAlignment="1">
      <alignment horizontal="center"/>
    </xf>
    <xf numFmtId="0" fontId="1" fillId="2" borderId="2" xfId="0" applyFont="1" applyFill="1" applyBorder="1" applyAlignment="1">
      <alignment horizontal="center" vertical="center" wrapText="1" readingOrder="1"/>
    </xf>
    <xf numFmtId="0" fontId="1" fillId="2" borderId="3" xfId="0" applyFont="1" applyFill="1" applyBorder="1" applyAlignment="1">
      <alignment horizontal="center" vertical="center" wrapText="1" readingOrder="1"/>
    </xf>
    <xf numFmtId="0" fontId="2" fillId="2" borderId="4" xfId="0" applyFont="1" applyFill="1" applyBorder="1" applyAlignment="1">
      <alignment horizontal="center" vertical="center" wrapText="1" readingOrder="1"/>
    </xf>
    <xf numFmtId="0" fontId="2" fillId="2" borderId="5" xfId="0" applyFont="1" applyFill="1" applyBorder="1" applyAlignment="1">
      <alignment horizontal="center" vertical="center" wrapText="1" readingOrder="1"/>
    </xf>
    <xf numFmtId="0" fontId="2" fillId="2" borderId="6" xfId="0" applyFont="1" applyFill="1" applyBorder="1" applyAlignment="1">
      <alignment horizontal="center" vertical="center" wrapText="1" readingOrder="1"/>
    </xf>
    <xf numFmtId="43" fontId="0" fillId="0" borderId="0" xfId="1" applyFont="1" applyAlignment="1">
      <alignment horizontal="center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29BBC5-04AB-495F-B1AB-07CE13EBD83E}">
  <dimension ref="D1:Q21"/>
  <sheetViews>
    <sheetView tabSelected="1" workbookViewId="0">
      <selection activeCell="P4" sqref="P4"/>
    </sheetView>
  </sheetViews>
  <sheetFormatPr defaultRowHeight="14.4" x14ac:dyDescent="0.3"/>
  <cols>
    <col min="4" max="4" width="29.33203125" customWidth="1"/>
    <col min="5" max="13" width="8.44140625" customWidth="1"/>
    <col min="15" max="15" width="35" customWidth="1"/>
  </cols>
  <sheetData>
    <row r="1" spans="4:17" ht="15" thickBot="1" x14ac:dyDescent="0.35"/>
    <row r="2" spans="4:17" ht="36.6" customHeight="1" thickBot="1" x14ac:dyDescent="0.35">
      <c r="D2" s="9" t="s">
        <v>0</v>
      </c>
      <c r="E2" s="9" t="s">
        <v>6</v>
      </c>
      <c r="F2" s="11" t="s">
        <v>1</v>
      </c>
      <c r="G2" s="12"/>
      <c r="H2" s="12"/>
      <c r="I2" s="13"/>
      <c r="J2" s="11" t="s">
        <v>7</v>
      </c>
      <c r="K2" s="12"/>
      <c r="L2" s="12"/>
      <c r="M2" s="13"/>
      <c r="N2" s="11"/>
      <c r="O2" s="12"/>
      <c r="P2" s="12"/>
      <c r="Q2" s="13"/>
    </row>
    <row r="3" spans="4:17" ht="36.6" thickBot="1" x14ac:dyDescent="0.35">
      <c r="D3" s="10"/>
      <c r="E3" s="10"/>
      <c r="F3" s="2" t="s">
        <v>3</v>
      </c>
      <c r="G3" s="2" t="s">
        <v>2</v>
      </c>
      <c r="H3" s="2" t="s">
        <v>4</v>
      </c>
      <c r="I3" s="2" t="s">
        <v>5</v>
      </c>
      <c r="J3" s="2" t="s">
        <v>3</v>
      </c>
      <c r="K3" s="2" t="s">
        <v>2</v>
      </c>
      <c r="L3" s="2" t="s">
        <v>4</v>
      </c>
      <c r="M3" s="2" t="s">
        <v>5</v>
      </c>
      <c r="N3" s="2"/>
      <c r="O3" s="2" t="s">
        <v>18</v>
      </c>
      <c r="P3" s="2" t="s">
        <v>37</v>
      </c>
      <c r="Q3" s="2" t="s">
        <v>36</v>
      </c>
    </row>
    <row r="4" spans="4:17" ht="18.600000000000001" thickBot="1" x14ac:dyDescent="0.4">
      <c r="D4" s="1" t="s">
        <v>33</v>
      </c>
      <c r="E4" s="4">
        <v>72</v>
      </c>
      <c r="F4" s="4">
        <v>6</v>
      </c>
      <c r="G4" s="4">
        <v>16</v>
      </c>
      <c r="H4" s="4">
        <v>16</v>
      </c>
      <c r="I4" s="5">
        <v>5</v>
      </c>
      <c r="J4" s="4">
        <f>F4*$E$4</f>
        <v>432</v>
      </c>
      <c r="K4" s="4">
        <f t="shared" ref="K4:M4" si="0">G4*$E$4</f>
        <v>1152</v>
      </c>
      <c r="L4" s="4">
        <f t="shared" si="0"/>
        <v>1152</v>
      </c>
      <c r="M4" s="4">
        <f t="shared" si="0"/>
        <v>360</v>
      </c>
      <c r="N4" s="4"/>
      <c r="O4" s="1" t="s">
        <v>2</v>
      </c>
      <c r="P4" s="4">
        <v>10</v>
      </c>
      <c r="Q4" s="4"/>
    </row>
    <row r="5" spans="4:17" ht="18.600000000000001" thickBot="1" x14ac:dyDescent="0.4">
      <c r="D5" s="1" t="s">
        <v>8</v>
      </c>
      <c r="E5" s="4">
        <v>82</v>
      </c>
      <c r="F5" s="4">
        <v>2</v>
      </c>
      <c r="G5" s="4">
        <v>5</v>
      </c>
      <c r="H5" s="4">
        <v>6</v>
      </c>
      <c r="I5" s="5">
        <v>0</v>
      </c>
      <c r="J5" s="4">
        <f>F5*$E$5</f>
        <v>164</v>
      </c>
      <c r="K5" s="4">
        <f t="shared" ref="K5:M5" si="1">G5*$E$5</f>
        <v>410</v>
      </c>
      <c r="L5" s="4">
        <f t="shared" si="1"/>
        <v>492</v>
      </c>
      <c r="M5" s="4">
        <f t="shared" si="1"/>
        <v>0</v>
      </c>
      <c r="N5" s="4"/>
      <c r="O5" s="1" t="s">
        <v>19</v>
      </c>
      <c r="P5" s="4">
        <v>2</v>
      </c>
      <c r="Q5" s="4"/>
    </row>
    <row r="6" spans="4:17" ht="18.600000000000001" thickBot="1" x14ac:dyDescent="0.4">
      <c r="D6" s="1" t="s">
        <v>9</v>
      </c>
      <c r="E6" s="4">
        <v>0</v>
      </c>
      <c r="F6" s="4">
        <v>3</v>
      </c>
      <c r="G6" s="4">
        <v>8</v>
      </c>
      <c r="H6" s="4">
        <v>8</v>
      </c>
      <c r="I6" s="5">
        <v>3</v>
      </c>
      <c r="J6" s="4">
        <f>F6*$E$6</f>
        <v>0</v>
      </c>
      <c r="K6" s="4">
        <f t="shared" ref="K6:M6" si="2">G6*$E$6</f>
        <v>0</v>
      </c>
      <c r="L6" s="4">
        <f t="shared" si="2"/>
        <v>0</v>
      </c>
      <c r="M6" s="4">
        <f t="shared" si="2"/>
        <v>0</v>
      </c>
      <c r="N6" s="4"/>
      <c r="O6" s="1" t="s">
        <v>20</v>
      </c>
      <c r="P6" s="4">
        <v>10</v>
      </c>
      <c r="Q6" s="4"/>
    </row>
    <row r="7" spans="4:17" ht="18.600000000000001" thickBot="1" x14ac:dyDescent="0.4">
      <c r="D7" s="1" t="s">
        <v>34</v>
      </c>
      <c r="E7" s="4">
        <v>4</v>
      </c>
      <c r="F7" s="4">
        <v>5</v>
      </c>
      <c r="G7" s="4">
        <v>10</v>
      </c>
      <c r="H7" s="4">
        <v>12</v>
      </c>
      <c r="I7" s="5">
        <v>5</v>
      </c>
      <c r="J7" s="4">
        <f>F7*$E$7</f>
        <v>20</v>
      </c>
      <c r="K7" s="4">
        <f t="shared" ref="K7:M7" si="3">G7*$E$7</f>
        <v>40</v>
      </c>
      <c r="L7" s="4">
        <f t="shared" si="3"/>
        <v>48</v>
      </c>
      <c r="M7" s="4">
        <f t="shared" si="3"/>
        <v>20</v>
      </c>
      <c r="N7" s="4"/>
      <c r="O7" s="1" t="s">
        <v>21</v>
      </c>
      <c r="P7" s="4">
        <v>2</v>
      </c>
      <c r="Q7" s="4">
        <v>1200</v>
      </c>
    </row>
    <row r="8" spans="4:17" ht="18.600000000000001" thickBot="1" x14ac:dyDescent="0.4">
      <c r="D8" s="1" t="s">
        <v>10</v>
      </c>
      <c r="E8" s="4">
        <v>16</v>
      </c>
      <c r="F8" s="4">
        <v>3</v>
      </c>
      <c r="G8" s="4">
        <v>10</v>
      </c>
      <c r="H8" s="4">
        <v>11</v>
      </c>
      <c r="I8" s="5">
        <v>4</v>
      </c>
      <c r="J8" s="4">
        <f>F8*$E$8</f>
        <v>48</v>
      </c>
      <c r="K8" s="4">
        <f t="shared" ref="K8:M8" si="4">G8*$E$8</f>
        <v>160</v>
      </c>
      <c r="L8" s="4">
        <f t="shared" si="4"/>
        <v>176</v>
      </c>
      <c r="M8" s="4">
        <f t="shared" si="4"/>
        <v>64</v>
      </c>
      <c r="N8" s="4"/>
      <c r="O8" s="1" t="s">
        <v>22</v>
      </c>
      <c r="P8" s="4">
        <v>1</v>
      </c>
      <c r="Q8" s="4">
        <v>1500</v>
      </c>
    </row>
    <row r="9" spans="4:17" ht="18.600000000000001" thickBot="1" x14ac:dyDescent="0.4">
      <c r="D9" s="1" t="s">
        <v>11</v>
      </c>
      <c r="E9" s="4">
        <v>180</v>
      </c>
      <c r="F9" s="4">
        <v>3</v>
      </c>
      <c r="G9" s="4">
        <v>10</v>
      </c>
      <c r="H9" s="4">
        <v>12</v>
      </c>
      <c r="I9" s="5">
        <v>2</v>
      </c>
      <c r="J9" s="4">
        <f>F9*$E$9</f>
        <v>540</v>
      </c>
      <c r="K9" s="4">
        <f t="shared" ref="K9:M9" si="5">G9*$E$9</f>
        <v>1800</v>
      </c>
      <c r="L9" s="4">
        <f t="shared" si="5"/>
        <v>2160</v>
      </c>
      <c r="M9" s="4">
        <f t="shared" si="5"/>
        <v>360</v>
      </c>
      <c r="N9" s="4"/>
      <c r="O9" s="1" t="s">
        <v>23</v>
      </c>
      <c r="P9" s="4">
        <v>2</v>
      </c>
      <c r="Q9" s="4"/>
    </row>
    <row r="10" spans="4:17" ht="18.600000000000001" thickBot="1" x14ac:dyDescent="0.4">
      <c r="D10" s="1" t="s">
        <v>12</v>
      </c>
      <c r="E10" s="4">
        <v>75</v>
      </c>
      <c r="F10" s="4">
        <v>1</v>
      </c>
      <c r="G10" s="4">
        <v>1</v>
      </c>
      <c r="H10" s="4">
        <v>3</v>
      </c>
      <c r="I10" s="5">
        <v>0</v>
      </c>
      <c r="J10" s="4">
        <f>F10*$E$10</f>
        <v>75</v>
      </c>
      <c r="K10" s="4">
        <f t="shared" ref="K10:M10" si="6">G10*$E$10</f>
        <v>75</v>
      </c>
      <c r="L10" s="4">
        <f t="shared" si="6"/>
        <v>225</v>
      </c>
      <c r="M10" s="4">
        <f t="shared" si="6"/>
        <v>0</v>
      </c>
      <c r="N10" s="4"/>
      <c r="O10" s="1" t="s">
        <v>24</v>
      </c>
      <c r="P10" s="4">
        <v>4</v>
      </c>
      <c r="Q10" s="4"/>
    </row>
    <row r="11" spans="4:17" ht="18.600000000000001" thickBot="1" x14ac:dyDescent="0.4">
      <c r="D11" s="1" t="s">
        <v>13</v>
      </c>
      <c r="E11" s="4">
        <v>0</v>
      </c>
      <c r="F11" s="4">
        <v>1</v>
      </c>
      <c r="G11" s="4">
        <v>2</v>
      </c>
      <c r="H11" s="4">
        <v>4</v>
      </c>
      <c r="I11" s="5">
        <v>0</v>
      </c>
      <c r="J11" s="4">
        <f>F11*$E$11</f>
        <v>0</v>
      </c>
      <c r="K11" s="4">
        <f t="shared" ref="K11:M11" si="7">G11*$E$11</f>
        <v>0</v>
      </c>
      <c r="L11" s="4">
        <f t="shared" si="7"/>
        <v>0</v>
      </c>
      <c r="M11" s="4">
        <f t="shared" si="7"/>
        <v>0</v>
      </c>
      <c r="N11" s="4"/>
      <c r="O11" s="1" t="s">
        <v>25</v>
      </c>
      <c r="P11" s="4">
        <v>4</v>
      </c>
      <c r="Q11" s="4"/>
    </row>
    <row r="12" spans="4:17" ht="18.600000000000001" thickBot="1" x14ac:dyDescent="0.4">
      <c r="D12" s="1" t="s">
        <v>14</v>
      </c>
      <c r="E12" s="4">
        <v>12</v>
      </c>
      <c r="F12" s="4">
        <v>1</v>
      </c>
      <c r="G12" s="4">
        <v>1</v>
      </c>
      <c r="H12" s="4">
        <v>16</v>
      </c>
      <c r="I12" s="5">
        <v>0</v>
      </c>
      <c r="J12" s="4">
        <f>F12*$E$12</f>
        <v>12</v>
      </c>
      <c r="K12" s="4">
        <f t="shared" ref="K12:M12" si="8">G12*$E$12</f>
        <v>12</v>
      </c>
      <c r="L12" s="4">
        <f t="shared" si="8"/>
        <v>192</v>
      </c>
      <c r="M12" s="4">
        <f t="shared" si="8"/>
        <v>0</v>
      </c>
      <c r="N12" s="4"/>
      <c r="O12" s="1" t="s">
        <v>26</v>
      </c>
      <c r="P12" s="4">
        <v>5</v>
      </c>
      <c r="Q12" s="4"/>
    </row>
    <row r="13" spans="4:17" ht="18.600000000000001" thickBot="1" x14ac:dyDescent="0.4">
      <c r="D13" s="1" t="s">
        <v>15</v>
      </c>
      <c r="E13" s="4">
        <v>5</v>
      </c>
      <c r="F13" s="4">
        <v>30</v>
      </c>
      <c r="G13" s="4">
        <v>350</v>
      </c>
      <c r="H13" s="4">
        <v>560</v>
      </c>
      <c r="I13" s="5">
        <v>30</v>
      </c>
      <c r="J13" s="4">
        <f>F13*$E$13</f>
        <v>150</v>
      </c>
      <c r="K13" s="4">
        <f t="shared" ref="K13:M13" si="9">G13*$E$13</f>
        <v>1750</v>
      </c>
      <c r="L13" s="4">
        <f t="shared" si="9"/>
        <v>2800</v>
      </c>
      <c r="M13" s="4">
        <f t="shared" si="9"/>
        <v>150</v>
      </c>
      <c r="N13" s="4"/>
      <c r="O13" s="1" t="s">
        <v>27</v>
      </c>
      <c r="P13" s="4">
        <v>5</v>
      </c>
      <c r="Q13" s="4"/>
    </row>
    <row r="14" spans="4:17" ht="18.600000000000001" thickBot="1" x14ac:dyDescent="0.4">
      <c r="D14" s="1" t="s">
        <v>32</v>
      </c>
      <c r="E14" s="4">
        <v>12</v>
      </c>
      <c r="F14" s="4">
        <v>8</v>
      </c>
      <c r="G14" s="4">
        <v>20</v>
      </c>
      <c r="H14" s="4">
        <v>8</v>
      </c>
      <c r="I14" s="5">
        <v>0</v>
      </c>
      <c r="J14" s="4">
        <f>F14*$E$14</f>
        <v>96</v>
      </c>
      <c r="K14" s="4">
        <f t="shared" ref="K14:M14" si="10">G14*$E$14</f>
        <v>240</v>
      </c>
      <c r="L14" s="4">
        <f t="shared" si="10"/>
        <v>96</v>
      </c>
      <c r="M14" s="4">
        <f t="shared" si="10"/>
        <v>0</v>
      </c>
      <c r="N14" s="4"/>
      <c r="O14" s="1"/>
      <c r="P14" s="4"/>
      <c r="Q14" s="4"/>
    </row>
    <row r="15" spans="4:17" ht="18.600000000000001" thickBot="1" x14ac:dyDescent="0.4">
      <c r="D15" s="1" t="s">
        <v>35</v>
      </c>
      <c r="E15" s="4"/>
      <c r="F15" s="4"/>
      <c r="G15" s="4"/>
      <c r="H15" s="4"/>
      <c r="I15" s="5"/>
      <c r="J15" s="4"/>
      <c r="K15" s="4"/>
      <c r="L15" s="4"/>
      <c r="M15" s="4"/>
      <c r="N15" s="4"/>
      <c r="O15" s="1"/>
      <c r="P15" s="4"/>
      <c r="Q15" s="4"/>
    </row>
    <row r="16" spans="4:17" ht="18.600000000000001" thickBot="1" x14ac:dyDescent="0.4">
      <c r="D16" s="1"/>
      <c r="E16" s="4"/>
      <c r="F16" s="4"/>
      <c r="G16" s="4"/>
      <c r="H16" s="4"/>
      <c r="I16" s="5"/>
      <c r="J16" s="4"/>
      <c r="K16" s="4"/>
      <c r="L16" s="4"/>
      <c r="M16" s="4"/>
      <c r="N16" s="4"/>
      <c r="O16" s="1"/>
      <c r="P16" s="4"/>
      <c r="Q16" s="4"/>
    </row>
    <row r="17" spans="4:17" ht="18.600000000000001" thickBot="1" x14ac:dyDescent="0.4">
      <c r="O17" s="1" t="s">
        <v>28</v>
      </c>
      <c r="P17" s="4">
        <v>1</v>
      </c>
      <c r="Q17" s="4"/>
    </row>
    <row r="18" spans="4:17" ht="18.600000000000001" thickBot="1" x14ac:dyDescent="0.4">
      <c r="D18" s="7" t="s">
        <v>16</v>
      </c>
      <c r="J18" s="8">
        <f>SUM(J4:J16)</f>
        <v>1537</v>
      </c>
      <c r="K18" s="8">
        <f t="shared" ref="K18:M18" si="11">SUM(K4:K16)</f>
        <v>5639</v>
      </c>
      <c r="L18" s="8">
        <f t="shared" si="11"/>
        <v>7341</v>
      </c>
      <c r="M18" s="8">
        <f t="shared" si="11"/>
        <v>954</v>
      </c>
      <c r="N18" s="8"/>
      <c r="O18" s="1" t="s">
        <v>29</v>
      </c>
      <c r="P18" s="4">
        <v>2</v>
      </c>
      <c r="Q18" s="4"/>
    </row>
    <row r="19" spans="4:17" ht="18.600000000000001" thickBot="1" x14ac:dyDescent="0.4">
      <c r="D19" s="7" t="s">
        <v>17</v>
      </c>
      <c r="J19" s="14">
        <f>J18/8</f>
        <v>192.125</v>
      </c>
      <c r="K19" s="14">
        <f t="shared" ref="K19:M19" si="12">K18/8</f>
        <v>704.875</v>
      </c>
      <c r="L19" s="14">
        <f t="shared" si="12"/>
        <v>917.625</v>
      </c>
      <c r="M19" s="14">
        <f t="shared" si="12"/>
        <v>119.25</v>
      </c>
      <c r="N19" s="6"/>
      <c r="O19" s="1" t="s">
        <v>30</v>
      </c>
      <c r="P19" s="4">
        <v>2</v>
      </c>
      <c r="Q19" s="4"/>
    </row>
    <row r="20" spans="4:17" ht="18.600000000000001" thickBot="1" x14ac:dyDescent="0.4">
      <c r="D20" s="7">
        <v>20</v>
      </c>
      <c r="J20" s="14">
        <f>J19/D20</f>
        <v>9.6062499999999993</v>
      </c>
      <c r="K20" s="14">
        <f>K19/D20</f>
        <v>35.243749999999999</v>
      </c>
      <c r="L20" s="14">
        <f>L19/D20</f>
        <v>45.881250000000001</v>
      </c>
      <c r="M20" s="14">
        <f>M19/D20</f>
        <v>5.9625000000000004</v>
      </c>
      <c r="N20" s="6"/>
      <c r="O20" s="1" t="s">
        <v>31</v>
      </c>
      <c r="P20" s="4">
        <v>5</v>
      </c>
      <c r="Q20" s="4"/>
    </row>
    <row r="21" spans="4:17" ht="18" x14ac:dyDescent="0.35">
      <c r="O21" s="3"/>
    </row>
  </sheetData>
  <mergeCells count="5">
    <mergeCell ref="D2:D3"/>
    <mergeCell ref="F2:I2"/>
    <mergeCell ref="E2:E3"/>
    <mergeCell ref="J2:M2"/>
    <mergeCell ref="N2:Q2"/>
  </mergeCells>
  <pageMargins left="0.7" right="0.7" top="0.75" bottom="0.75" header="0.3" footer="0.3"/>
  <pageSetup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thyssenkrupp Automotive Body Solutions GmbH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Kumbhar, Kiran</dc:creator>
  <cp:lastModifiedBy>Chikaskar, Suyog</cp:lastModifiedBy>
  <dcterms:created xsi:type="dcterms:W3CDTF">2025-12-24T10:33:32Z</dcterms:created>
  <dcterms:modified xsi:type="dcterms:W3CDTF">2025-12-26T05:24:35Z</dcterms:modified>
</cp:coreProperties>
</file>