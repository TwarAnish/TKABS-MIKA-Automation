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22_Sourcing\0000_PSM\00_tkSY PSM\Suyog\Mahindra Z121\Procurement Plan\"/>
    </mc:Choice>
  </mc:AlternateContent>
  <xr:revisionPtr revIDLastSave="0" documentId="13_ncr:1_{46E44EF0-1CFB-47E0-80A8-FA166535F772}" xr6:coauthVersionLast="47" xr6:coauthVersionMax="47" xr10:uidLastSave="{00000000-0000-0000-0000-000000000000}"/>
  <bookViews>
    <workbookView xWindow="-108" yWindow="-108" windowWidth="23256" windowHeight="13896" tabRatio="646" firstSheet="2" activeTab="2" xr2:uid="{00000000-000D-0000-FFFF-FFFF00000000}"/>
  </bookViews>
  <sheets>
    <sheet name="LOP" sheetId="37" r:id="rId1"/>
    <sheet name="M Z121 Schedule" sheetId="16" r:id="rId2"/>
    <sheet name="Procurement Plan" sheetId="36" r:id="rId3"/>
  </sheets>
  <definedNames>
    <definedName name="_xlnm._FilterDatabase" localSheetId="0" hidden="1">LOP!$A$5:$IJ$60</definedName>
    <definedName name="_xlnm._FilterDatabase" localSheetId="2" hidden="1">'Procurement Plan'!$B$3:$V$96</definedName>
    <definedName name="Actual" localSheetId="0">([0]!PeriodInActual*(#REF!&gt;0))*[0]!PeriodInPlan</definedName>
    <definedName name="Actual" localSheetId="2">('Procurement Plan'!PeriodInActual*(#REF!&gt;0))*'Procurement Plan'!PeriodInPlan</definedName>
    <definedName name="Actual">([0]!PeriodInActual*(#REF!&gt;0))*[0]!PeriodInPlan</definedName>
    <definedName name="ActualBeyond" localSheetId="0">[0]!PeriodInActual*(#REF!&gt;0)</definedName>
    <definedName name="ActualBeyond" localSheetId="2">'Procurement Plan'!PeriodInActual*(#REF!&gt;0)</definedName>
    <definedName name="ActualBeyond">[0]!PeriodInActual*(#REF!&gt;0)</definedName>
    <definedName name="color" localSheetId="0">#REF!</definedName>
    <definedName name="color" localSheetId="2">#REF!</definedName>
    <definedName name="color">#REF!</definedName>
    <definedName name="Display_Week" localSheetId="2">#REF!</definedName>
    <definedName name="Display_Week">#REF!</definedName>
    <definedName name="DX" localSheetId="0">dddd</definedName>
    <definedName name="DX" localSheetId="2">dddd</definedName>
    <definedName name="DX">dddd</definedName>
    <definedName name="New" localSheetId="0">(#REF!=MEDIAN(#REF!,#REF!,#REF!+#REF!)*(#REF!&gt;0))*((#REF!&lt;(INT(#REF!+#REF!*#REF!)))+(#REF!=#REF!))*(#REF!&gt;0)</definedName>
    <definedName name="New" localSheetId="2">(#REF!=MEDIAN(#REF!,#REF!,#REF!+#REF!)*(#REF!&gt;0))*((#REF!&lt;(INT(#REF!+#REF!*#REF!)))+(#REF!=#REF!))*(#REF!&gt;0)</definedName>
    <definedName name="New">(#REF!=MEDIAN(#REF!,#REF!,#REF!+#REF!)*(#REF!&gt;0))*((#REF!&lt;(INT(#REF!+#REF!*#REF!)))+(#REF!=#REF!))*(#REF!&gt;0)</definedName>
    <definedName name="PercentComplete" localSheetId="0">LOP!PercentCompleteBeyond*[0]!PeriodInPlan</definedName>
    <definedName name="PercentComplete" localSheetId="2">'Procurement Plan'!PercentCompleteBeyond*'Procurement Plan'!PeriodInPlan</definedName>
    <definedName name="PercentComplete">[0]!PercentCompleteBeyond*[0]!PeriodInPlan</definedName>
    <definedName name="PercentCompleteBeyond" localSheetId="0">(#REF!=MEDIAN(#REF!,#REF!,#REF!+#REF!)*(#REF!&gt;0))*((#REF!&lt;(INT(#REF!+#REF!*#REF!)))+(#REF!=#REF!))*(#REF!&gt;0)</definedName>
    <definedName name="PercentCompleteBeyond" localSheetId="2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2">#REF!</definedName>
    <definedName name="period_selected">#REF!</definedName>
    <definedName name="PeriodInActual" localSheetId="2">#REF!=MEDIAN(#REF!,#REF!,#REF!+#REF!-1)</definedName>
    <definedName name="PeriodInActual">#REF!=MEDIAN(#REF!,#REF!,#REF!+#REF!-1)</definedName>
    <definedName name="PeriodInPlan" localSheetId="2">#REF!=MEDIAN(#REF!,#REF!,#REF!+#REF!-1)</definedName>
    <definedName name="PeriodInPlan">#REF!=MEDIAN(#REF!,#REF!,#REF!+#REF!-1)</definedName>
    <definedName name="Plan" localSheetId="0">PeriodInPlan*(#REF!&gt;0)</definedName>
    <definedName name="Plan" localSheetId="2">'Procurement Plan'!PeriodInPlan*(#REF!&gt;0)</definedName>
    <definedName name="Plan">PeriodInPlan*(#REF!&gt;0)</definedName>
    <definedName name="PP" localSheetId="0">#N/A</definedName>
    <definedName name="PP">'Procurement Plan'!PercentCompleteBeyond*'Procurement Plan'!PeriodInPlan</definedName>
    <definedName name="_xlnm.Print_Area" localSheetId="1">'M Z121 Schedule'!$A$1:$DD$79</definedName>
    <definedName name="_xlnm.Print_Titles" localSheetId="1">'M Z121 Schedule'!$4:$6</definedName>
    <definedName name="Project_Start" localSheetId="2">#REF!</definedName>
    <definedName name="Project_Start">#REF!</definedName>
    <definedName name="Table1" localSheetId="2">#REF!</definedName>
    <definedName name="Table1">#REF!</definedName>
    <definedName name="task_end" localSheetId="1">'M Z121 Schedule'!$G1</definedName>
    <definedName name="task_progress" localSheetId="1">'M Z121 Schedule'!$E1</definedName>
    <definedName name="task_start" localSheetId="1">'M Z121 Schedule'!$F1</definedName>
    <definedName name="TEXTRaute12" localSheetId="2">#REF!</definedName>
    <definedName name="TEXTRaute12">#REF!</definedName>
    <definedName name="TEXTRaute17" localSheetId="2">#REF!</definedName>
    <definedName name="TEXTRaute17">#REF!</definedName>
    <definedName name="TEXTRaute7" localSheetId="2">#REF!</definedName>
    <definedName name="TEXTRaute7">#REF!</definedName>
    <definedName name="today" localSheetId="1">'M Z121 Schedule'!$F$3</definedName>
    <definedName name="valuevx">42.314159</definedName>
    <definedName name="vertex42_copyright" hidden="1">"© 2017 Vertex42 LLC"</definedName>
    <definedName name="vertex42_id" hidden="1">"project-timeline.xlsx"</definedName>
    <definedName name="vertex42_title" hidden="1">"Project Timeline Template"</definedName>
    <definedName name="Zon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6" l="1"/>
  <c r="P16" i="36"/>
  <c r="N16" i="36" s="1"/>
  <c r="L16" i="36" s="1"/>
  <c r="P17" i="36"/>
  <c r="N17" i="36" s="1"/>
  <c r="L17" i="36" s="1"/>
  <c r="P18" i="36"/>
  <c r="N18" i="36" s="1"/>
  <c r="L18" i="36" s="1"/>
  <c r="P19" i="36"/>
  <c r="N19" i="36" s="1"/>
  <c r="L19" i="36" s="1"/>
  <c r="P20" i="36"/>
  <c r="N20" i="36" s="1"/>
  <c r="L20" i="36" s="1"/>
  <c r="P21" i="36"/>
  <c r="N21" i="36" s="1"/>
  <c r="L21" i="36" s="1"/>
  <c r="P22" i="36"/>
  <c r="N22" i="36" s="1"/>
  <c r="L22" i="36" s="1"/>
  <c r="P23" i="36"/>
  <c r="N23" i="36" s="1"/>
  <c r="L23" i="36" s="1"/>
  <c r="P24" i="36"/>
  <c r="N24" i="36" s="1"/>
  <c r="L24" i="36" s="1"/>
  <c r="P25" i="36"/>
  <c r="N25" i="36" s="1"/>
  <c r="L25" i="36" s="1"/>
  <c r="P26" i="36"/>
  <c r="N26" i="36" s="1"/>
  <c r="L26" i="36" s="1"/>
  <c r="P27" i="36"/>
  <c r="N27" i="36" s="1"/>
  <c r="L27" i="36" s="1"/>
  <c r="P28" i="36"/>
  <c r="N28" i="36" s="1"/>
  <c r="L28" i="36" s="1"/>
  <c r="P29" i="36"/>
  <c r="N29" i="36" s="1"/>
  <c r="L29" i="36" s="1"/>
  <c r="P30" i="36"/>
  <c r="N30" i="36" s="1"/>
  <c r="L30" i="36" s="1"/>
  <c r="P31" i="36"/>
  <c r="N31" i="36" s="1"/>
  <c r="L31" i="36" s="1"/>
  <c r="P32" i="36"/>
  <c r="N32" i="36" s="1"/>
  <c r="L32" i="36" s="1"/>
  <c r="P33" i="36"/>
  <c r="N33" i="36" s="1"/>
  <c r="L33" i="36" s="1"/>
  <c r="P34" i="36"/>
  <c r="N34" i="36" s="1"/>
  <c r="L34" i="36" s="1"/>
  <c r="P35" i="36"/>
  <c r="N35" i="36" s="1"/>
  <c r="L35" i="36" s="1"/>
  <c r="P36" i="36"/>
  <c r="N36" i="36" s="1"/>
  <c r="L36" i="36" s="1"/>
  <c r="P37" i="36"/>
  <c r="N37" i="36" s="1"/>
  <c r="L37" i="36" s="1"/>
  <c r="P38" i="36"/>
  <c r="N38" i="36" s="1"/>
  <c r="L38" i="36" s="1"/>
  <c r="P39" i="36"/>
  <c r="N39" i="36" s="1"/>
  <c r="L39" i="36" s="1"/>
  <c r="P40" i="36"/>
  <c r="N40" i="36" s="1"/>
  <c r="L40" i="36" s="1"/>
  <c r="P41" i="36"/>
  <c r="N41" i="36" s="1"/>
  <c r="L41" i="36" s="1"/>
  <c r="P42" i="36"/>
  <c r="N42" i="36" s="1"/>
  <c r="L42" i="36" s="1"/>
  <c r="P43" i="36"/>
  <c r="N43" i="36" s="1"/>
  <c r="L43" i="36" s="1"/>
  <c r="P44" i="36"/>
  <c r="N44" i="36" s="1"/>
  <c r="L44" i="36" s="1"/>
  <c r="P45" i="36"/>
  <c r="N45" i="36" s="1"/>
  <c r="L45" i="36" s="1"/>
  <c r="P46" i="36"/>
  <c r="N46" i="36" s="1"/>
  <c r="L46" i="36" s="1"/>
  <c r="P47" i="36"/>
  <c r="N47" i="36" s="1"/>
  <c r="L47" i="36" s="1"/>
  <c r="P48" i="36"/>
  <c r="N48" i="36" s="1"/>
  <c r="L48" i="36" s="1"/>
  <c r="P49" i="36"/>
  <c r="N49" i="36" s="1"/>
  <c r="L49" i="36" s="1"/>
  <c r="P50" i="36"/>
  <c r="N50" i="36" s="1"/>
  <c r="L50" i="36" s="1"/>
  <c r="P51" i="36"/>
  <c r="N51" i="36" s="1"/>
  <c r="L51" i="36" s="1"/>
  <c r="P52" i="36"/>
  <c r="N52" i="36" s="1"/>
  <c r="L52" i="36" s="1"/>
  <c r="P53" i="36"/>
  <c r="N53" i="36" s="1"/>
  <c r="L53" i="36" s="1"/>
  <c r="P54" i="36"/>
  <c r="N54" i="36" s="1"/>
  <c r="L54" i="36" s="1"/>
  <c r="P55" i="36"/>
  <c r="N55" i="36" s="1"/>
  <c r="L55" i="36" s="1"/>
  <c r="P56" i="36"/>
  <c r="N56" i="36" s="1"/>
  <c r="L56" i="36" s="1"/>
  <c r="P57" i="36"/>
  <c r="N57" i="36" s="1"/>
  <c r="L57" i="36" s="1"/>
  <c r="P58" i="36"/>
  <c r="N58" i="36" s="1"/>
  <c r="L58" i="36" s="1"/>
  <c r="P59" i="36"/>
  <c r="N59" i="36" s="1"/>
  <c r="L59" i="36" s="1"/>
  <c r="P60" i="36"/>
  <c r="N60" i="36" s="1"/>
  <c r="L60" i="36" s="1"/>
  <c r="P61" i="36"/>
  <c r="N61" i="36" s="1"/>
  <c r="L61" i="36" s="1"/>
  <c r="P62" i="36"/>
  <c r="N62" i="36" s="1"/>
  <c r="L62" i="36" s="1"/>
  <c r="P63" i="36"/>
  <c r="N63" i="36" s="1"/>
  <c r="L63" i="36" s="1"/>
  <c r="P64" i="36"/>
  <c r="N64" i="36" s="1"/>
  <c r="L64" i="36" s="1"/>
  <c r="P65" i="36"/>
  <c r="N65" i="36" s="1"/>
  <c r="L65" i="36" s="1"/>
  <c r="P66" i="36"/>
  <c r="N66" i="36" s="1"/>
  <c r="L66" i="36" s="1"/>
  <c r="P67" i="36"/>
  <c r="N67" i="36" s="1"/>
  <c r="L67" i="36" s="1"/>
  <c r="P68" i="36"/>
  <c r="N68" i="36" s="1"/>
  <c r="L68" i="36" s="1"/>
  <c r="P69" i="36"/>
  <c r="N69" i="36" s="1"/>
  <c r="L69" i="36" s="1"/>
  <c r="P70" i="36"/>
  <c r="N70" i="36" s="1"/>
  <c r="L70" i="36" s="1"/>
  <c r="P71" i="36"/>
  <c r="N71" i="36" s="1"/>
  <c r="L71" i="36" s="1"/>
  <c r="P72" i="36"/>
  <c r="N72" i="36" s="1"/>
  <c r="L72" i="36" s="1"/>
  <c r="P73" i="36"/>
  <c r="N73" i="36" s="1"/>
  <c r="L73" i="36" s="1"/>
  <c r="P74" i="36"/>
  <c r="N74" i="36" s="1"/>
  <c r="L74" i="36" s="1"/>
  <c r="P75" i="36"/>
  <c r="N75" i="36" s="1"/>
  <c r="L75" i="36" s="1"/>
  <c r="P76" i="36"/>
  <c r="N76" i="36" s="1"/>
  <c r="L76" i="36" s="1"/>
  <c r="P77" i="36"/>
  <c r="N77" i="36" s="1"/>
  <c r="L77" i="36" s="1"/>
  <c r="P78" i="36"/>
  <c r="N78" i="36" s="1"/>
  <c r="L78" i="36" s="1"/>
  <c r="P79" i="36"/>
  <c r="N79" i="36" s="1"/>
  <c r="L79" i="36" s="1"/>
  <c r="P80" i="36"/>
  <c r="N80" i="36" s="1"/>
  <c r="L80" i="36" s="1"/>
  <c r="N81" i="36"/>
  <c r="L81" i="36" s="1"/>
  <c r="P82" i="36"/>
  <c r="N82" i="36" s="1"/>
  <c r="L82" i="36" s="1"/>
  <c r="N83" i="36"/>
  <c r="L83" i="36" s="1"/>
  <c r="P84" i="36"/>
  <c r="N84" i="36" s="1"/>
  <c r="L84" i="36" s="1"/>
  <c r="P85" i="36"/>
  <c r="N85" i="36" s="1"/>
  <c r="L85" i="36" s="1"/>
  <c r="P86" i="36"/>
  <c r="N86" i="36" s="1"/>
  <c r="L86" i="36" s="1"/>
  <c r="P87" i="36"/>
  <c r="N87" i="36" s="1"/>
  <c r="L87" i="36" s="1"/>
  <c r="P88" i="36"/>
  <c r="N88" i="36" s="1"/>
  <c r="L88" i="36" s="1"/>
  <c r="P89" i="36"/>
  <c r="N89" i="36" s="1"/>
  <c r="L89" i="36" s="1"/>
  <c r="P90" i="36"/>
  <c r="N90" i="36" s="1"/>
  <c r="L90" i="36" s="1"/>
  <c r="P91" i="36"/>
  <c r="N91" i="36" s="1"/>
  <c r="L91" i="36" s="1"/>
  <c r="P92" i="36"/>
  <c r="N92" i="36" s="1"/>
  <c r="L92" i="36" s="1"/>
  <c r="P93" i="36"/>
  <c r="N93" i="36" s="1"/>
  <c r="L93" i="36" s="1"/>
  <c r="P94" i="36"/>
  <c r="N94" i="36" s="1"/>
  <c r="L94" i="36" s="1"/>
  <c r="P95" i="36"/>
  <c r="N95" i="36" s="1"/>
  <c r="L95" i="36" s="1"/>
  <c r="P96" i="36"/>
  <c r="N96" i="36" s="1"/>
  <c r="L96" i="36" s="1"/>
  <c r="P13" i="36"/>
  <c r="N13" i="36" s="1"/>
  <c r="L13" i="36" s="1"/>
  <c r="H52" i="36"/>
  <c r="O3" i="37"/>
  <c r="O2" i="37"/>
  <c r="O1" i="37"/>
  <c r="O4" i="37" s="1"/>
  <c r="H92" i="36" l="1"/>
  <c r="H93" i="36"/>
  <c r="H94" i="36"/>
  <c r="H89" i="36"/>
  <c r="H33" i="36"/>
  <c r="H59" i="36"/>
  <c r="H60" i="36"/>
  <c r="H61" i="36"/>
  <c r="H30" i="36"/>
  <c r="H29" i="36"/>
  <c r="H28" i="36"/>
  <c r="H27" i="36"/>
  <c r="H26" i="36"/>
  <c r="H21" i="36"/>
  <c r="H20" i="36"/>
  <c r="H25" i="36"/>
  <c r="H24" i="36"/>
  <c r="H23" i="36"/>
  <c r="H22" i="36"/>
  <c r="H84" i="36" l="1"/>
  <c r="H85" i="36"/>
  <c r="H86" i="36"/>
  <c r="H88" i="36"/>
  <c r="H90" i="36"/>
  <c r="H91" i="36"/>
  <c r="P9" i="36"/>
  <c r="N9" i="36" s="1"/>
  <c r="L9" i="36" s="1"/>
  <c r="H9" i="36"/>
  <c r="H8" i="36"/>
  <c r="H6" i="36"/>
  <c r="H7" i="36"/>
  <c r="P7" i="36"/>
  <c r="N7" i="36" s="1"/>
  <c r="L7" i="36" s="1"/>
  <c r="P6" i="36"/>
  <c r="N6" i="36" s="1"/>
  <c r="L6" i="36" s="1"/>
  <c r="P10" i="36" l="1"/>
  <c r="N10" i="36" s="1"/>
  <c r="L10" i="36" s="1"/>
  <c r="P11" i="36"/>
  <c r="N11" i="36" s="1"/>
  <c r="L11" i="36" s="1"/>
  <c r="P8" i="36"/>
  <c r="N8" i="36" s="1"/>
  <c r="L8" i="36" s="1"/>
  <c r="H83" i="36"/>
  <c r="H82" i="36"/>
  <c r="H81" i="36"/>
  <c r="H80" i="36"/>
  <c r="H79" i="36"/>
  <c r="H78" i="36"/>
  <c r="H77" i="36"/>
  <c r="H76" i="36"/>
  <c r="H75" i="36"/>
  <c r="H74" i="36"/>
  <c r="H73" i="36"/>
  <c r="H72" i="36"/>
  <c r="H71" i="36"/>
  <c r="H70" i="36"/>
  <c r="H69" i="36"/>
  <c r="H68" i="36"/>
  <c r="H67" i="36"/>
  <c r="H66" i="36"/>
  <c r="H65" i="36"/>
  <c r="H64" i="36"/>
  <c r="H63" i="36"/>
  <c r="H62" i="36"/>
  <c r="H58" i="36"/>
  <c r="H57" i="36"/>
  <c r="H56" i="36"/>
  <c r="H54" i="36"/>
  <c r="H53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2" i="36"/>
  <c r="H31" i="36"/>
  <c r="H17" i="36"/>
  <c r="P15" i="36"/>
  <c r="N15" i="36" s="1"/>
  <c r="L15" i="36" s="1"/>
  <c r="H15" i="36"/>
  <c r="P14" i="36"/>
  <c r="N14" i="36" s="1"/>
  <c r="L14" i="36" s="1"/>
  <c r="H14" i="36"/>
  <c r="P12" i="36"/>
  <c r="N12" i="36" s="1"/>
  <c r="L12" i="36" s="1"/>
  <c r="H12" i="36"/>
  <c r="H11" i="36"/>
  <c r="P5" i="36"/>
  <c r="N5" i="36" s="1"/>
  <c r="L5" i="36" s="1"/>
  <c r="H5" i="36"/>
  <c r="P4" i="36"/>
  <c r="N4" i="36" s="1"/>
  <c r="L4" i="36" s="1"/>
  <c r="H4" i="36"/>
  <c r="F87" i="16" l="1"/>
  <c r="F85" i="16"/>
  <c r="J85" i="16" s="1"/>
  <c r="G83" i="16"/>
  <c r="G57" i="16"/>
  <c r="F65" i="16"/>
  <c r="J66" i="16"/>
  <c r="J67" i="16"/>
  <c r="F17" i="16"/>
  <c r="F21" i="16" s="1"/>
  <c r="G21" i="16" s="1"/>
  <c r="G23" i="16" s="1"/>
  <c r="F59" i="16" s="1"/>
  <c r="G59" i="16" s="1"/>
  <c r="J16" i="16"/>
  <c r="G11" i="16"/>
  <c r="G10" i="16"/>
  <c r="J10" i="16" s="1"/>
  <c r="G9" i="16"/>
  <c r="J9" i="16" s="1"/>
  <c r="J8" i="16"/>
  <c r="J12" i="16"/>
  <c r="J14" i="16"/>
  <c r="J18" i="16"/>
  <c r="J20" i="16"/>
  <c r="J22" i="16"/>
  <c r="J24" i="16"/>
  <c r="J26" i="16"/>
  <c r="J28" i="16"/>
  <c r="J30" i="16"/>
  <c r="J32" i="16"/>
  <c r="J34" i="16"/>
  <c r="J36" i="16"/>
  <c r="J38" i="16"/>
  <c r="J40" i="16"/>
  <c r="J42" i="16"/>
  <c r="J44" i="16"/>
  <c r="J46" i="16"/>
  <c r="J48" i="16"/>
  <c r="J50" i="16"/>
  <c r="J52" i="16"/>
  <c r="J54" i="16"/>
  <c r="J56" i="16"/>
  <c r="J58" i="16"/>
  <c r="J60" i="16"/>
  <c r="J62" i="16"/>
  <c r="J64" i="16"/>
  <c r="J68" i="16"/>
  <c r="J70" i="16"/>
  <c r="J72" i="16"/>
  <c r="J74" i="16"/>
  <c r="J76" i="16"/>
  <c r="J78" i="16"/>
  <c r="J80" i="16"/>
  <c r="J82" i="16"/>
  <c r="J84" i="16"/>
  <c r="J86" i="16"/>
  <c r="J87" i="16"/>
  <c r="J88" i="16"/>
  <c r="G13" i="16" l="1"/>
  <c r="F15" i="16" s="1"/>
  <c r="G15" i="16" s="1"/>
  <c r="J11" i="16"/>
  <c r="J15" i="16" l="1"/>
  <c r="J13" i="16"/>
  <c r="G17" i="16" l="1"/>
  <c r="F19" i="16" s="1"/>
  <c r="G19" i="16" s="1"/>
  <c r="F25" i="16" s="1"/>
  <c r="G25" i="16" l="1"/>
  <c r="F27" i="16" s="1"/>
  <c r="F31" i="16" s="1"/>
  <c r="F37" i="16"/>
  <c r="G37" i="16" s="1"/>
  <c r="J17" i="16"/>
  <c r="J19" i="16"/>
  <c r="J21" i="16" l="1"/>
  <c r="G27" i="16" l="1"/>
  <c r="J59" i="16"/>
  <c r="F39" i="16"/>
  <c r="G39" i="16" s="1"/>
  <c r="F41" i="16" s="1"/>
  <c r="J25" i="16"/>
  <c r="J27" i="16" l="1"/>
  <c r="F29" i="16"/>
  <c r="J37" i="16"/>
  <c r="J23" i="16"/>
  <c r="G29" i="16" l="1"/>
  <c r="G41" i="16"/>
  <c r="F43" i="16" s="1"/>
  <c r="G43" i="16" s="1"/>
  <c r="F45" i="16" s="1"/>
  <c r="G45" i="16" s="1"/>
  <c r="G31" i="16"/>
  <c r="J39" i="16"/>
  <c r="F33" i="16" l="1"/>
  <c r="F35" i="16"/>
  <c r="J31" i="16"/>
  <c r="J41" i="16"/>
  <c r="J29" i="16"/>
  <c r="J57" i="16" l="1"/>
  <c r="G33" i="16"/>
  <c r="J33" i="16" s="1"/>
  <c r="G35" i="16"/>
  <c r="J35" i="16" s="1"/>
  <c r="F47" i="16"/>
  <c r="J61" i="16"/>
  <c r="J43" i="16"/>
  <c r="G47" i="16" l="1"/>
  <c r="F49" i="16" s="1"/>
  <c r="J45" i="16"/>
  <c r="G65" i="16"/>
  <c r="J63" i="16" l="1"/>
  <c r="J65" i="16"/>
  <c r="G49" i="16"/>
  <c r="J47" i="16"/>
  <c r="J49" i="16" l="1"/>
  <c r="F51" i="16"/>
  <c r="G51" i="16" s="1"/>
  <c r="F53" i="16" s="1"/>
  <c r="G53" i="16" s="1"/>
  <c r="F55" i="16" s="1"/>
  <c r="F69" i="16"/>
  <c r="J69" i="16" s="1"/>
  <c r="G69" i="16"/>
  <c r="F71" i="16" s="1"/>
  <c r="J51" i="16" l="1"/>
  <c r="G71" i="16"/>
  <c r="J53" i="16"/>
  <c r="G55" i="16"/>
  <c r="J55" i="16" s="1"/>
  <c r="G73" i="16" l="1"/>
  <c r="J71" i="16"/>
  <c r="G81" i="16"/>
  <c r="F75" i="16" l="1"/>
  <c r="J73" i="16"/>
  <c r="F83" i="16"/>
  <c r="J81" i="16"/>
  <c r="G75" i="16" l="1"/>
  <c r="J75" i="16" s="1"/>
  <c r="J83" i="16"/>
  <c r="G77" i="16" l="1"/>
  <c r="G79" i="16" s="1"/>
  <c r="F77" i="16"/>
  <c r="F79" i="16" l="1"/>
  <c r="J79" i="16" s="1"/>
  <c r="J77" i="16"/>
  <c r="K5" i="16" l="1"/>
  <c r="K6" i="16" s="1"/>
  <c r="K4" i="16"/>
  <c r="R4" i="16" s="1"/>
  <c r="Y4" i="16" s="1"/>
  <c r="AF4" i="16" s="1"/>
  <c r="AM4" i="16" s="1"/>
  <c r="AT4" i="16" s="1"/>
  <c r="BA4" i="16" s="1"/>
  <c r="BH4" i="16" s="1"/>
  <c r="BO4" i="16" s="1"/>
  <c r="BV4" i="16" s="1"/>
  <c r="CC4" i="16" s="1"/>
  <c r="CJ4" i="16" s="1"/>
  <c r="CQ4" i="16" s="1"/>
  <c r="CX4" i="16" s="1"/>
  <c r="DE4" i="16" s="1"/>
  <c r="DL4" i="16" s="1"/>
  <c r="DS4" i="16" s="1"/>
  <c r="DZ4" i="16" s="1"/>
  <c r="EG4" i="16" s="1"/>
  <c r="EN4" i="16" s="1"/>
  <c r="EU4" i="16" s="1"/>
  <c r="FB4" i="16" s="1"/>
  <c r="FI4" i="16" s="1"/>
  <c r="FP4" i="16" s="1"/>
  <c r="FW4" i="16" s="1"/>
  <c r="GD4" i="16" s="1"/>
  <c r="GK4" i="16" s="1"/>
  <c r="GR4" i="16" s="1"/>
  <c r="GY4" i="16" s="1"/>
  <c r="HF4" i="16" s="1"/>
  <c r="HM4" i="16" s="1"/>
  <c r="HT4" i="16" s="1"/>
  <c r="IA4" i="16" s="1"/>
  <c r="IH4" i="16" s="1"/>
  <c r="IO4" i="16" s="1"/>
  <c r="IV4" i="16" s="1"/>
  <c r="JC4" i="16" s="1"/>
  <c r="JJ4" i="16" s="1"/>
  <c r="JQ4" i="16" s="1"/>
  <c r="JX4" i="16" s="1"/>
  <c r="KE4" i="16" s="1"/>
  <c r="KL4" i="16" s="1"/>
  <c r="KS4" i="16" s="1"/>
  <c r="KZ4" i="16" s="1"/>
  <c r="LG4" i="16" s="1"/>
  <c r="LN4" i="16" s="1"/>
  <c r="LU4" i="16" s="1"/>
  <c r="MB4" i="16" s="1"/>
  <c r="F3" i="16"/>
  <c r="L5" i="16" l="1"/>
  <c r="L6" i="16" l="1"/>
  <c r="M5" i="16"/>
  <c r="M6" i="16" l="1"/>
  <c r="N5" i="16"/>
  <c r="N6" i="16" l="1"/>
  <c r="O5" i="16"/>
  <c r="O6" i="16" l="1"/>
  <c r="P5" i="16"/>
  <c r="P6" i="16" l="1"/>
  <c r="Q5" i="16"/>
  <c r="R5" i="16" l="1"/>
  <c r="Q6" i="16"/>
  <c r="J7" i="16"/>
  <c r="R6" i="16" l="1"/>
  <c r="S5" i="16"/>
  <c r="T5" i="16" l="1"/>
  <c r="S6" i="16"/>
  <c r="T6" i="16" l="1"/>
  <c r="U5" i="16"/>
  <c r="U6" i="16" l="1"/>
  <c r="V5" i="16"/>
  <c r="V6" i="16" l="1"/>
  <c r="W5" i="16"/>
  <c r="W6" i="16" l="1"/>
  <c r="X5" i="16"/>
  <c r="Y5" i="16" l="1"/>
  <c r="X6" i="16"/>
  <c r="Z5" i="16" l="1"/>
  <c r="Y6" i="16"/>
  <c r="Z6" i="16" l="1"/>
  <c r="AA5" i="16"/>
  <c r="AB5" i="16" l="1"/>
  <c r="AA6" i="16"/>
  <c r="AB6" i="16" l="1"/>
  <c r="AC5" i="16"/>
  <c r="AC6" i="16" l="1"/>
  <c r="AD5" i="16"/>
  <c r="AD6" i="16" l="1"/>
  <c r="AE5" i="16"/>
  <c r="AE6" i="16" l="1"/>
  <c r="AF5" i="16"/>
  <c r="AF6" i="16" l="1"/>
  <c r="AG5" i="16"/>
  <c r="AG6" i="16" l="1"/>
  <c r="AH5" i="16"/>
  <c r="AH6" i="16" l="1"/>
  <c r="AI5" i="16"/>
  <c r="AI6" i="16" l="1"/>
  <c r="AJ5" i="16"/>
  <c r="AJ6" i="16" l="1"/>
  <c r="AK5" i="16"/>
  <c r="AK6" i="16" l="1"/>
  <c r="AL5" i="16"/>
  <c r="AL6" i="16" l="1"/>
  <c r="AM5" i="16"/>
  <c r="AM6" i="16" l="1"/>
  <c r="AN5" i="16"/>
  <c r="AO5" i="16" l="1"/>
  <c r="AN6" i="16"/>
  <c r="AP5" i="16" l="1"/>
  <c r="AO6" i="16"/>
  <c r="AP6" i="16" l="1"/>
  <c r="AQ5" i="16"/>
  <c r="AR5" i="16" l="1"/>
  <c r="AQ6" i="16"/>
  <c r="AR6" i="16" l="1"/>
  <c r="AS5" i="16"/>
  <c r="AS6" i="16" l="1"/>
  <c r="AT5" i="16"/>
  <c r="AT6" i="16" l="1"/>
  <c r="AU5" i="16"/>
  <c r="AU6" i="16" l="1"/>
  <c r="AV5" i="16"/>
  <c r="AV6" i="16" l="1"/>
  <c r="AW5" i="16"/>
  <c r="AW6" i="16" l="1"/>
  <c r="AX5" i="16"/>
  <c r="AX6" i="16" l="1"/>
  <c r="AY5" i="16"/>
  <c r="AY6" i="16" l="1"/>
  <c r="AZ5" i="16"/>
  <c r="AZ6" i="16" l="1"/>
  <c r="BA5" i="16"/>
  <c r="BA6" i="16" l="1"/>
  <c r="BB5" i="16"/>
  <c r="BB6" i="16" l="1"/>
  <c r="BC5" i="16"/>
  <c r="BC6" i="16" l="1"/>
  <c r="BD5" i="16"/>
  <c r="BD6" i="16" l="1"/>
  <c r="BE5" i="16"/>
  <c r="BE6" i="16" l="1"/>
  <c r="BF5" i="16"/>
  <c r="BF6" i="16" l="1"/>
  <c r="BG5" i="16"/>
  <c r="BH5" i="16" l="1"/>
  <c r="BG6" i="16"/>
  <c r="BH6" i="16" l="1"/>
  <c r="BI5" i="16"/>
  <c r="BI6" i="16" l="1"/>
  <c r="BJ5" i="16"/>
  <c r="BJ6" i="16" l="1"/>
  <c r="BK5" i="16"/>
  <c r="BK6" i="16" l="1"/>
  <c r="BL5" i="16"/>
  <c r="BM5" i="16" l="1"/>
  <c r="BL6" i="16"/>
  <c r="BM6" i="16" l="1"/>
  <c r="BN5" i="16"/>
  <c r="BN6" i="16" l="1"/>
  <c r="BO5" i="16"/>
  <c r="BP5" i="16" l="1"/>
  <c r="BO6" i="16"/>
  <c r="BP6" i="16" l="1"/>
  <c r="BQ5" i="16"/>
  <c r="BQ6" i="16" l="1"/>
  <c r="BR5" i="16"/>
  <c r="BR6" i="16" l="1"/>
  <c r="BS5" i="16"/>
  <c r="BS6" i="16" l="1"/>
  <c r="BT5" i="16"/>
  <c r="BU5" i="16" l="1"/>
  <c r="BT6" i="16"/>
  <c r="BU6" i="16" l="1"/>
  <c r="BV5" i="16"/>
  <c r="BV6" i="16" l="1"/>
  <c r="BW5" i="16"/>
  <c r="BW6" i="16" l="1"/>
  <c r="BX5" i="16"/>
  <c r="BX6" i="16" l="1"/>
  <c r="BY5" i="16"/>
  <c r="BY6" i="16" l="1"/>
  <c r="BZ5" i="16"/>
  <c r="BZ6" i="16" l="1"/>
  <c r="CA5" i="16"/>
  <c r="CA6" i="16" l="1"/>
  <c r="CB5" i="16"/>
  <c r="CB6" i="16" l="1"/>
  <c r="CC5" i="16"/>
  <c r="CD5" i="16" l="1"/>
  <c r="CC6" i="16"/>
  <c r="CD6" i="16" l="1"/>
  <c r="CE5" i="16"/>
  <c r="CF5" i="16" l="1"/>
  <c r="CE6" i="16"/>
  <c r="CF6" i="16" l="1"/>
  <c r="CG5" i="16"/>
  <c r="CG6" i="16" l="1"/>
  <c r="CH5" i="16"/>
  <c r="CH6" i="16" l="1"/>
  <c r="CI5" i="16"/>
  <c r="CI6" i="16" l="1"/>
  <c r="CJ5" i="16"/>
  <c r="CK5" i="16" l="1"/>
  <c r="CJ6" i="16"/>
  <c r="CL5" i="16" l="1"/>
  <c r="CK6" i="16"/>
  <c r="CL6" i="16" l="1"/>
  <c r="CM5" i="16"/>
  <c r="CN5" i="16" l="1"/>
  <c r="CM6" i="16"/>
  <c r="CN6" i="16" l="1"/>
  <c r="CO5" i="16"/>
  <c r="CO6" i="16" l="1"/>
  <c r="CP5" i="16"/>
  <c r="CP6" i="16" l="1"/>
  <c r="CQ5" i="16"/>
  <c r="CQ6" i="16" l="1"/>
  <c r="CR5" i="16"/>
  <c r="CR6" i="16" l="1"/>
  <c r="CS5" i="16"/>
  <c r="CS6" i="16" l="1"/>
  <c r="CT5" i="16"/>
  <c r="CT6" i="16" l="1"/>
  <c r="CU5" i="16"/>
  <c r="CU6" i="16" l="1"/>
  <c r="CV5" i="16"/>
  <c r="CV6" i="16" l="1"/>
  <c r="CW5" i="16"/>
  <c r="CW6" i="16" l="1"/>
  <c r="CX5" i="16"/>
  <c r="CX6" i="16" l="1"/>
  <c r="CY5" i="16"/>
  <c r="CY6" i="16" l="1"/>
  <c r="CZ5" i="16"/>
  <c r="DA5" i="16" l="1"/>
  <c r="CZ6" i="16"/>
  <c r="DB5" i="16" l="1"/>
  <c r="DA6" i="16"/>
  <c r="DB6" i="16" l="1"/>
  <c r="DC5" i="16"/>
  <c r="DC6" i="16" l="1"/>
  <c r="DD5" i="16"/>
  <c r="DD6" i="16" l="1"/>
  <c r="DE5" i="16"/>
  <c r="DE6" i="16" l="1"/>
  <c r="DF5" i="16"/>
  <c r="DF6" i="16" l="1"/>
  <c r="DG5" i="16"/>
  <c r="DG6" i="16" l="1"/>
  <c r="DH5" i="16"/>
  <c r="DH6" i="16" l="1"/>
  <c r="DI5" i="16"/>
  <c r="DI6" i="16" l="1"/>
  <c r="DJ5" i="16"/>
  <c r="DJ6" i="16" l="1"/>
  <c r="DK5" i="16"/>
  <c r="DK6" i="16" l="1"/>
  <c r="DL5" i="16"/>
  <c r="DL6" i="16" l="1"/>
  <c r="DM5" i="16"/>
  <c r="DM6" i="16" l="1"/>
  <c r="DN5" i="16"/>
  <c r="DN6" i="16" l="1"/>
  <c r="DO5" i="16"/>
  <c r="DO6" i="16" l="1"/>
  <c r="DP5" i="16"/>
  <c r="DP6" i="16" l="1"/>
  <c r="DQ5" i="16"/>
  <c r="DQ6" i="16" l="1"/>
  <c r="DR5" i="16"/>
  <c r="DR6" i="16" l="1"/>
  <c r="DS5" i="16"/>
  <c r="DT5" i="16" l="1"/>
  <c r="DS6" i="16"/>
  <c r="DT6" i="16" l="1"/>
  <c r="DU5" i="16"/>
  <c r="DU6" i="16" l="1"/>
  <c r="DV5" i="16"/>
  <c r="DV6" i="16" l="1"/>
  <c r="DW5" i="16"/>
  <c r="DW6" i="16" l="1"/>
  <c r="DX5" i="16"/>
  <c r="DY5" i="16" l="1"/>
  <c r="DX6" i="16"/>
  <c r="DY6" i="16" l="1"/>
  <c r="DZ5" i="16"/>
  <c r="DZ6" i="16" l="1"/>
  <c r="EA5" i="16"/>
  <c r="EB5" i="16" l="1"/>
  <c r="EA6" i="16"/>
  <c r="EB6" i="16" l="1"/>
  <c r="EC5" i="16"/>
  <c r="EC6" i="16" l="1"/>
  <c r="ED5" i="16"/>
  <c r="ED6" i="16" l="1"/>
  <c r="EE5" i="16"/>
  <c r="EE6" i="16" l="1"/>
  <c r="EF5" i="16"/>
  <c r="EN5" i="16" l="1"/>
  <c r="EF6" i="16"/>
  <c r="EG5" i="16"/>
  <c r="EG6" i="16" l="1"/>
  <c r="EH5" i="16"/>
  <c r="EN6" i="16"/>
  <c r="EO5" i="16"/>
  <c r="EP5" i="16" l="1"/>
  <c r="EO6" i="16"/>
  <c r="EH6" i="16"/>
  <c r="EI5" i="16"/>
  <c r="EI6" i="16" l="1"/>
  <c r="EJ5" i="16"/>
  <c r="EP6" i="16"/>
  <c r="EQ5" i="16"/>
  <c r="ER5" i="16" l="1"/>
  <c r="EQ6" i="16"/>
  <c r="EJ6" i="16"/>
  <c r="EK5" i="16"/>
  <c r="EK6" i="16" l="1"/>
  <c r="EL5" i="16"/>
  <c r="ER6" i="16"/>
  <c r="ES5" i="16"/>
  <c r="ES6" i="16" l="1"/>
  <c r="ET5" i="16"/>
  <c r="EL6" i="16"/>
  <c r="EM5" i="16"/>
  <c r="EM6" i="16" s="1"/>
  <c r="ET6" i="16" l="1"/>
  <c r="EU5" i="16"/>
  <c r="EU6" i="16" l="1"/>
  <c r="EV5" i="16"/>
  <c r="EW5" i="16" l="1"/>
  <c r="EV6" i="16"/>
  <c r="EX5" i="16" l="1"/>
  <c r="EW6" i="16"/>
  <c r="EX6" i="16" l="1"/>
  <c r="EY5" i="16"/>
  <c r="EZ5" i="16" l="1"/>
  <c r="EY6" i="16"/>
  <c r="EZ6" i="16" l="1"/>
  <c r="FA5" i="16"/>
  <c r="FA6" i="16" l="1"/>
  <c r="FB5" i="16"/>
  <c r="FB6" i="16" l="1"/>
  <c r="FC5" i="16"/>
  <c r="FC6" i="16" l="1"/>
  <c r="FD5" i="16"/>
  <c r="FD6" i="16" l="1"/>
  <c r="FE5" i="16"/>
  <c r="FE6" i="16" l="1"/>
  <c r="FF5" i="16"/>
  <c r="FF6" i="16" l="1"/>
  <c r="FG5" i="16"/>
  <c r="FG6" i="16" l="1"/>
  <c r="FH5" i="16"/>
  <c r="FH6" i="16" l="1"/>
  <c r="FI5" i="16"/>
  <c r="FI6" i="16" l="1"/>
  <c r="FJ5" i="16"/>
  <c r="FJ6" i="16" l="1"/>
  <c r="FK5" i="16"/>
  <c r="FK6" i="16" l="1"/>
  <c r="FL5" i="16"/>
  <c r="FM5" i="16" l="1"/>
  <c r="FL6" i="16"/>
  <c r="FN5" i="16" l="1"/>
  <c r="FM6" i="16"/>
  <c r="FN6" i="16" l="1"/>
  <c r="FO5" i="16"/>
  <c r="FP5" i="16" l="1"/>
  <c r="FO6" i="16"/>
  <c r="FP6" i="16" l="1"/>
  <c r="FQ5" i="16"/>
  <c r="FQ6" i="16" l="1"/>
  <c r="FR5" i="16"/>
  <c r="FR6" i="16" l="1"/>
  <c r="FS5" i="16"/>
  <c r="FS6" i="16" l="1"/>
  <c r="FT5" i="16"/>
  <c r="FU5" i="16" l="1"/>
  <c r="FT6" i="16"/>
  <c r="FU6" i="16" l="1"/>
  <c r="FV5" i="16"/>
  <c r="FV6" i="16" l="1"/>
  <c r="FW5" i="16"/>
  <c r="FX5" i="16" l="1"/>
  <c r="FW6" i="16"/>
  <c r="FX6" i="16" l="1"/>
  <c r="FY5" i="16"/>
  <c r="FZ5" i="16" l="1"/>
  <c r="FY6" i="16"/>
  <c r="GA5" i="16" l="1"/>
  <c r="FZ6" i="16"/>
  <c r="GA6" i="16" l="1"/>
  <c r="GB5" i="16"/>
  <c r="GB6" i="16" l="1"/>
  <c r="GC5" i="16"/>
  <c r="GC6" i="16" l="1"/>
  <c r="GD5" i="16"/>
  <c r="GD6" i="16" l="1"/>
  <c r="GE5" i="16"/>
  <c r="GF5" i="16" l="1"/>
  <c r="GE6" i="16"/>
  <c r="GG5" i="16" l="1"/>
  <c r="GF6" i="16"/>
  <c r="GH5" i="16" l="1"/>
  <c r="GG6" i="16"/>
  <c r="GI5" i="16" l="1"/>
  <c r="GH6" i="16"/>
  <c r="GI6" i="16" l="1"/>
  <c r="GJ5" i="16"/>
  <c r="GK5" i="16" l="1"/>
  <c r="GJ6" i="16"/>
  <c r="GL5" i="16" l="1"/>
  <c r="GK6" i="16"/>
  <c r="GL6" i="16" l="1"/>
  <c r="GM5" i="16"/>
  <c r="GN5" i="16" l="1"/>
  <c r="GM6" i="16"/>
  <c r="GO5" i="16" l="1"/>
  <c r="GN6" i="16"/>
  <c r="GP5" i="16" l="1"/>
  <c r="GO6" i="16"/>
  <c r="GQ5" i="16" l="1"/>
  <c r="GP6" i="16"/>
  <c r="GQ6" i="16" l="1"/>
  <c r="GR5" i="16"/>
  <c r="GS5" i="16" l="1"/>
  <c r="GR6" i="16"/>
  <c r="GT5" i="16" l="1"/>
  <c r="GS6" i="16"/>
  <c r="GT6" i="16" l="1"/>
  <c r="GU5" i="16"/>
  <c r="GV5" i="16" l="1"/>
  <c r="GU6" i="16"/>
  <c r="GW5" i="16" l="1"/>
  <c r="GV6" i="16"/>
  <c r="GX5" i="16" l="1"/>
  <c r="GW6" i="16"/>
  <c r="GY5" i="16" l="1"/>
  <c r="GX6" i="16"/>
  <c r="GY6" i="16" l="1"/>
  <c r="GZ5" i="16"/>
  <c r="GZ6" i="16" l="1"/>
  <c r="HA5" i="16"/>
  <c r="HB5" i="16" l="1"/>
  <c r="HA6" i="16"/>
  <c r="HB6" i="16" l="1"/>
  <c r="HC5" i="16"/>
  <c r="HD5" i="16" l="1"/>
  <c r="HC6" i="16"/>
  <c r="HE5" i="16" l="1"/>
  <c r="HD6" i="16"/>
  <c r="HF5" i="16" l="1"/>
  <c r="HE6" i="16"/>
  <c r="HG5" i="16" l="1"/>
  <c r="HF6" i="16"/>
  <c r="HG6" i="16" l="1"/>
  <c r="HH5" i="16"/>
  <c r="HI5" i="16" l="1"/>
  <c r="HH6" i="16"/>
  <c r="HJ5" i="16" l="1"/>
  <c r="HI6" i="16"/>
  <c r="HJ6" i="16" l="1"/>
  <c r="HK5" i="16"/>
  <c r="HL5" i="16" l="1"/>
  <c r="HK6" i="16"/>
  <c r="HM5" i="16" l="1"/>
  <c r="HL6" i="16"/>
  <c r="HN5" i="16" l="1"/>
  <c r="HM6" i="16"/>
  <c r="HO5" i="16" l="1"/>
  <c r="HN6" i="16"/>
  <c r="HO6" i="16" l="1"/>
  <c r="HP5" i="16"/>
  <c r="HP6" i="16" l="1"/>
  <c r="HQ5" i="16"/>
  <c r="HR5" i="16" l="1"/>
  <c r="HQ6" i="16"/>
  <c r="HR6" i="16" l="1"/>
  <c r="HS5" i="16"/>
  <c r="HT5" i="16" l="1"/>
  <c r="HS6" i="16"/>
  <c r="HU5" i="16" l="1"/>
  <c r="HT6" i="16"/>
  <c r="HV5" i="16" l="1"/>
  <c r="HU6" i="16"/>
  <c r="HW5" i="16" l="1"/>
  <c r="HV6" i="16"/>
  <c r="HW6" i="16" l="1"/>
  <c r="HX5" i="16"/>
  <c r="HX6" i="16" l="1"/>
  <c r="HY5" i="16"/>
  <c r="HZ5" i="16" l="1"/>
  <c r="HY6" i="16"/>
  <c r="HZ6" i="16" l="1"/>
  <c r="IA5" i="16"/>
  <c r="IB5" i="16" l="1"/>
  <c r="IA6" i="16"/>
  <c r="IC5" i="16" l="1"/>
  <c r="IB6" i="16"/>
  <c r="ID5" i="16" l="1"/>
  <c r="IC6" i="16"/>
  <c r="IE5" i="16" l="1"/>
  <c r="ID6" i="16"/>
  <c r="IE6" i="16" l="1"/>
  <c r="IF5" i="16"/>
  <c r="IF6" i="16" l="1"/>
  <c r="IG5" i="16"/>
  <c r="IH5" i="16" l="1"/>
  <c r="IG6" i="16"/>
  <c r="IH6" i="16" l="1"/>
  <c r="II5" i="16"/>
  <c r="IJ5" i="16" l="1"/>
  <c r="II6" i="16"/>
  <c r="IK5" i="16" l="1"/>
  <c r="IJ6" i="16"/>
  <c r="IL5" i="16" l="1"/>
  <c r="IK6" i="16"/>
  <c r="IM5" i="16" l="1"/>
  <c r="IL6" i="16"/>
  <c r="IM6" i="16" l="1"/>
  <c r="IN5" i="16"/>
  <c r="IN6" i="16" l="1"/>
  <c r="IO5" i="16"/>
  <c r="IP5" i="16" l="1"/>
  <c r="IO6" i="16"/>
  <c r="IP6" i="16" l="1"/>
  <c r="IQ5" i="16"/>
  <c r="IR5" i="16" l="1"/>
  <c r="IQ6" i="16"/>
  <c r="IS5" i="16" l="1"/>
  <c r="IR6" i="16"/>
  <c r="IT5" i="16" l="1"/>
  <c r="IS6" i="16"/>
  <c r="IU5" i="16" l="1"/>
  <c r="IT6" i="16"/>
  <c r="IU6" i="16" l="1"/>
  <c r="IV5" i="16"/>
  <c r="IV6" i="16" l="1"/>
  <c r="IW5" i="16"/>
  <c r="IX5" i="16" l="1"/>
  <c r="IW6" i="16"/>
  <c r="IX6" i="16" l="1"/>
  <c r="IY5" i="16"/>
  <c r="IZ5" i="16" l="1"/>
  <c r="IY6" i="16"/>
  <c r="JA5" i="16" l="1"/>
  <c r="IZ6" i="16"/>
  <c r="JB5" i="16" l="1"/>
  <c r="JA6" i="16"/>
  <c r="JC5" i="16" l="1"/>
  <c r="JB6" i="16"/>
  <c r="JC6" i="16" l="1"/>
  <c r="JD5" i="16"/>
  <c r="JD6" i="16" l="1"/>
  <c r="JE5" i="16"/>
  <c r="JF5" i="16" l="1"/>
  <c r="JE6" i="16"/>
  <c r="JF6" i="16" l="1"/>
  <c r="JG5" i="16"/>
  <c r="JH5" i="16" l="1"/>
  <c r="JG6" i="16"/>
  <c r="JI5" i="16" l="1"/>
  <c r="JH6" i="16"/>
  <c r="JJ5" i="16" l="1"/>
  <c r="JI6" i="16"/>
  <c r="JK5" i="16" l="1"/>
  <c r="JJ6" i="16"/>
  <c r="JK6" i="16" l="1"/>
  <c r="JL5" i="16"/>
  <c r="JL6" i="16" l="1"/>
  <c r="JM5" i="16"/>
  <c r="JN5" i="16" l="1"/>
  <c r="JM6" i="16"/>
  <c r="JN6" i="16" l="1"/>
  <c r="JO5" i="16"/>
  <c r="JP5" i="16" l="1"/>
  <c r="JO6" i="16"/>
  <c r="JQ5" i="16" l="1"/>
  <c r="JP6" i="16"/>
  <c r="JR5" i="16" l="1"/>
  <c r="JQ6" i="16"/>
  <c r="JS5" i="16" l="1"/>
  <c r="JR6" i="16"/>
  <c r="JS6" i="16" l="1"/>
  <c r="JT5" i="16"/>
  <c r="JT6" i="16" l="1"/>
  <c r="JU5" i="16"/>
  <c r="JV5" i="16" l="1"/>
  <c r="JU6" i="16"/>
  <c r="JV6" i="16" l="1"/>
  <c r="JW5" i="16"/>
  <c r="JX5" i="16" l="1"/>
  <c r="JW6" i="16"/>
  <c r="JY5" i="16" l="1"/>
  <c r="JX6" i="16"/>
  <c r="JZ5" i="16" l="1"/>
  <c r="JY6" i="16"/>
  <c r="KA5" i="16" l="1"/>
  <c r="JZ6" i="16"/>
  <c r="KA6" i="16" l="1"/>
  <c r="KB5" i="16"/>
  <c r="KB6" i="16" l="1"/>
  <c r="KC5" i="16"/>
  <c r="KD5" i="16" l="1"/>
  <c r="KC6" i="16"/>
  <c r="KD6" i="16" l="1"/>
  <c r="KE5" i="16"/>
  <c r="KF5" i="16" l="1"/>
  <c r="KE6" i="16"/>
  <c r="KG5" i="16" l="1"/>
  <c r="KF6" i="16"/>
  <c r="KH5" i="16" l="1"/>
  <c r="KG6" i="16"/>
  <c r="KI5" i="16" l="1"/>
  <c r="KH6" i="16"/>
  <c r="KI6" i="16" l="1"/>
  <c r="KJ5" i="16"/>
  <c r="KJ6" i="16" l="1"/>
  <c r="KK5" i="16"/>
  <c r="KL5" i="16" l="1"/>
  <c r="KK6" i="16"/>
  <c r="KL6" i="16" l="1"/>
  <c r="KM5" i="16"/>
  <c r="KN5" i="16" l="1"/>
  <c r="KM6" i="16"/>
  <c r="KO5" i="16" l="1"/>
  <c r="KN6" i="16"/>
  <c r="KP5" i="16" l="1"/>
  <c r="KO6" i="16"/>
  <c r="KQ5" i="16" l="1"/>
  <c r="KP6" i="16"/>
  <c r="KQ6" i="16" l="1"/>
  <c r="KR5" i="16"/>
  <c r="KR6" i="16" l="1"/>
  <c r="KS5" i="16"/>
  <c r="KT5" i="16" l="1"/>
  <c r="KS6" i="16"/>
  <c r="KT6" i="16" l="1"/>
  <c r="KU5" i="16"/>
  <c r="KV5" i="16" l="1"/>
  <c r="KU6" i="16"/>
  <c r="KW5" i="16" l="1"/>
  <c r="KV6" i="16"/>
  <c r="KX5" i="16" l="1"/>
  <c r="KW6" i="16"/>
  <c r="KY5" i="16" l="1"/>
  <c r="KX6" i="16"/>
  <c r="KY6" i="16" l="1"/>
  <c r="KZ5" i="16"/>
  <c r="KZ6" i="16" l="1"/>
  <c r="LA5" i="16"/>
  <c r="LB5" i="16" l="1"/>
  <c r="LA6" i="16"/>
  <c r="LB6" i="16" l="1"/>
  <c r="LC5" i="16"/>
  <c r="LD5" i="16" l="1"/>
  <c r="LC6" i="16"/>
  <c r="LE5" i="16" l="1"/>
  <c r="LD6" i="16"/>
  <c r="LF5" i="16" l="1"/>
  <c r="LE6" i="16"/>
  <c r="LG5" i="16" l="1"/>
  <c r="LF6" i="16"/>
  <c r="LG6" i="16" l="1"/>
  <c r="LH5" i="16"/>
  <c r="LH6" i="16" l="1"/>
  <c r="LI5" i="16"/>
  <c r="LJ5" i="16" l="1"/>
  <c r="LI6" i="16"/>
  <c r="LJ6" i="16" l="1"/>
  <c r="LK5" i="16"/>
  <c r="LL5" i="16" l="1"/>
  <c r="LK6" i="16"/>
  <c r="LM5" i="16" l="1"/>
  <c r="LL6" i="16"/>
  <c r="LN5" i="16" l="1"/>
  <c r="LM6" i="16"/>
  <c r="LO5" i="16" l="1"/>
  <c r="LN6" i="16"/>
  <c r="LO6" i="16" l="1"/>
  <c r="LP5" i="16"/>
  <c r="LP6" i="16" l="1"/>
  <c r="LQ5" i="16"/>
  <c r="LR5" i="16" l="1"/>
  <c r="LQ6" i="16"/>
  <c r="LR6" i="16" l="1"/>
  <c r="LS5" i="16"/>
  <c r="LT5" i="16" l="1"/>
  <c r="LS6" i="16"/>
  <c r="LU5" i="16" l="1"/>
  <c r="LT6" i="16"/>
  <c r="LV5" i="16" l="1"/>
  <c r="LU6" i="16"/>
  <c r="LW5" i="16" l="1"/>
  <c r="LV6" i="16"/>
  <c r="LW6" i="16" l="1"/>
  <c r="LX5" i="16"/>
  <c r="LX6" i="16" l="1"/>
  <c r="LY5" i="16"/>
  <c r="LZ5" i="16" l="1"/>
  <c r="LY6" i="16"/>
  <c r="LZ6" i="16" l="1"/>
  <c r="MA5" i="16"/>
  <c r="MB5" i="16" l="1"/>
  <c r="MA6" i="16"/>
  <c r="MC5" i="16" l="1"/>
  <c r="MB6" i="16"/>
  <c r="MD5" i="16" l="1"/>
  <c r="MC6" i="16"/>
  <c r="ME5" i="16" l="1"/>
  <c r="MD6" i="16"/>
  <c r="ME6" i="16" l="1"/>
  <c r="MF5" i="16"/>
  <c r="MF6" i="16" l="1"/>
  <c r="MG5" i="16"/>
  <c r="MH5" i="16" l="1"/>
  <c r="MH6" i="16" s="1"/>
  <c r="MG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  <author>Babel, Sumit</author>
  </authors>
  <commentList>
    <comment ref="J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  <comment ref="C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Babel, Sumit:</t>
        </r>
        <r>
          <rPr>
            <sz val="9"/>
            <color indexed="81"/>
            <rFont val="Tahoma"/>
            <family val="2"/>
          </rPr>
          <t xml:space="preserve">
PO is yet to be received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64" authorId="0" shapeId="0" xr:uid="{F7425FE4-52DE-4FDE-BDF2-58B20A61CB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 for panel built</t>
        </r>
      </text>
    </comment>
    <comment ref="S69" authorId="0" shapeId="0" xr:uid="{06B44CBA-6778-4125-A100-3A27424A14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 for panel built</t>
        </r>
      </text>
    </comment>
    <comment ref="S70" authorId="0" shapeId="0" xr:uid="{ED196FB2-7285-4E1F-A54A-2AD3FC6C1A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 for panel built</t>
        </r>
      </text>
    </comment>
  </commentList>
</comments>
</file>

<file path=xl/sharedStrings.xml><?xml version="1.0" encoding="utf-8"?>
<sst xmlns="http://schemas.openxmlformats.org/spreadsheetml/2006/main" count="663" uniqueCount="302">
  <si>
    <t>Z121 Bodyshop - Open Issues Tracking</t>
  </si>
  <si>
    <t>CLOSED</t>
  </si>
  <si>
    <t>WIP</t>
  </si>
  <si>
    <t>OPEN</t>
  </si>
  <si>
    <t>Total</t>
  </si>
  <si>
    <t>No.</t>
  </si>
  <si>
    <t xml:space="preserve">Priority </t>
  </si>
  <si>
    <t>Line
(Zone)</t>
    <phoneticPr fontId="0"/>
  </si>
  <si>
    <t xml:space="preserve">Stn.No </t>
  </si>
  <si>
    <t xml:space="preserve">Raised By </t>
  </si>
  <si>
    <t>Organization</t>
  </si>
  <si>
    <t>Responsibility</t>
  </si>
  <si>
    <t>Issue start Date</t>
  </si>
  <si>
    <t>Concern / Question</t>
  </si>
  <si>
    <t>Image (if required )</t>
  </si>
  <si>
    <t>Target Date
(Due Date)</t>
    <phoneticPr fontId="0"/>
  </si>
  <si>
    <t>Countermeasure / Answer</t>
  </si>
  <si>
    <t>Closing Date</t>
  </si>
  <si>
    <t>Status
(Open/Close
&amp; WIP)</t>
  </si>
  <si>
    <t xml:space="preserve">Remarks
(Final-Response)
</t>
  </si>
  <si>
    <t>Mahantesh N</t>
  </si>
  <si>
    <t>Mahindra</t>
  </si>
  <si>
    <t>Kiran A</t>
  </si>
  <si>
    <t>Project Kick Off Meeting</t>
  </si>
  <si>
    <t>Close</t>
  </si>
  <si>
    <t>Project Kick off Meeting with M&amp;M Team carried out</t>
  </si>
  <si>
    <t>TKAB Project Organizational Structure</t>
  </si>
  <si>
    <t>Project Execution Team Introudction given to M&amp;M Team</t>
  </si>
  <si>
    <t>Sumit B</t>
  </si>
  <si>
    <t>TKAB</t>
  </si>
  <si>
    <t>Purchase Order</t>
  </si>
  <si>
    <t xml:space="preserve">Mahindra needs to share PO with TKAB </t>
  </si>
  <si>
    <t>Robot Make Fanuc / Kuka</t>
  </si>
  <si>
    <t>Input Data Requirement as per checklist shared by TKAB for Design and Simulation</t>
  </si>
  <si>
    <t>Product Data and Simulation Cell data shared by M&amp;M, Rest of the data as per checklist is pending</t>
  </si>
  <si>
    <t>Prathamesh T</t>
  </si>
  <si>
    <t>Prashant T</t>
  </si>
  <si>
    <t>Controls BOM Approval for ordering</t>
  </si>
  <si>
    <t>Open</t>
  </si>
  <si>
    <t xml:space="preserve">Mahindra to give an approval on Controls BOM shared by TKAB for ordering </t>
  </si>
  <si>
    <t>Yashodhan J</t>
  </si>
  <si>
    <t>Shubham S</t>
  </si>
  <si>
    <t>Lifter Stroke and Cycle time Consideration</t>
  </si>
  <si>
    <t xml:space="preserve">Mahindra to confirm the variable lifter strokes of 600MM and 800MM along with the cycle time cosnidered </t>
  </si>
  <si>
    <t>Feedback on query list shared by tkAB design team</t>
  </si>
  <si>
    <t>s</t>
  </si>
  <si>
    <t>SIGNIFICANCE</t>
  </si>
  <si>
    <t>MAKER - thyssenkrupp Automotive Body Solutions Private Limited</t>
  </si>
  <si>
    <t>Project Start:</t>
  </si>
  <si>
    <t>PLAN</t>
  </si>
  <si>
    <t>DELAY</t>
  </si>
  <si>
    <t>PROJECT -Z121</t>
  </si>
  <si>
    <t>Today:</t>
  </si>
  <si>
    <t>ACTUAL</t>
  </si>
  <si>
    <t>CURRENT</t>
  </si>
  <si>
    <t>PM - SUMIT BABEL</t>
  </si>
  <si>
    <t>Display Week:</t>
  </si>
  <si>
    <t>Sr.No.</t>
  </si>
  <si>
    <t>ACTIVITY</t>
  </si>
  <si>
    <t>RESPONSIBLE</t>
  </si>
  <si>
    <t>PROGRESS</t>
  </si>
  <si>
    <t>START</t>
  </si>
  <si>
    <t>END</t>
  </si>
  <si>
    <t>ACTUAL VS PLAN</t>
  </si>
  <si>
    <t>DAYS</t>
  </si>
  <si>
    <t>Weld Line Design, DAP &amp; 2D Release</t>
  </si>
  <si>
    <t>PO /LOI</t>
  </si>
  <si>
    <t xml:space="preserve">Mahindra </t>
  </si>
  <si>
    <t>Project Kick-Off Meeting with Customer</t>
  </si>
  <si>
    <t>Mahindra /
 tkAB</t>
  </si>
  <si>
    <t>Product data &amp; document sharing</t>
  </si>
  <si>
    <t xml:space="preserve">Process Validation </t>
  </si>
  <si>
    <t>tkAB</t>
  </si>
  <si>
    <t>Process Review</t>
  </si>
  <si>
    <t>Concept 3D design</t>
  </si>
  <si>
    <t>Concept Design Review with Mahindra</t>
  </si>
  <si>
    <t>Long Lead BOM preparation &amp; approval from Mahindra</t>
  </si>
  <si>
    <t>PO for long lead items</t>
  </si>
  <si>
    <t>1.10</t>
  </si>
  <si>
    <t>3D Design</t>
  </si>
  <si>
    <t>FINAL _ DAP</t>
  </si>
  <si>
    <t>1.12</t>
  </si>
  <si>
    <t>Design updation ,Detailing &amp; Final Release</t>
  </si>
  <si>
    <t>1.13</t>
  </si>
  <si>
    <t>Electrical Design</t>
  </si>
  <si>
    <t>1.14</t>
  </si>
  <si>
    <t>Offline programming (PLC)</t>
  </si>
  <si>
    <t>FINAL _ Electrical  Design Review E -DAP &amp; corrections</t>
  </si>
  <si>
    <t>Simulation, OLP &amp; VC</t>
  </si>
  <si>
    <t>Robot simulation Concept</t>
  </si>
  <si>
    <t>Detailed Simulation</t>
  </si>
  <si>
    <t>FINAL _ Simulation Approval ( SAP )</t>
  </si>
  <si>
    <t>OLP Preparation</t>
  </si>
  <si>
    <t>OLP Submit</t>
  </si>
  <si>
    <t>FINAL _ OLP Approval ( OLP B/O )</t>
  </si>
  <si>
    <t>Final PLC&amp; HMI program submission</t>
  </si>
  <si>
    <t>IO mapped VC ready Simulation cells</t>
  </si>
  <si>
    <t>Virtual Commissioning testing &amp; validation</t>
  </si>
  <si>
    <t>FINAL _ Virtual Commissioning Buy-off</t>
  </si>
  <si>
    <t>Manufacturing, Assembly &amp; Self certify</t>
  </si>
  <si>
    <t>Manufacturing</t>
  </si>
  <si>
    <t>Long lead BO items receipt</t>
  </si>
  <si>
    <t>Mechanical &amp; Electrical assembly of fixtures</t>
  </si>
  <si>
    <t>CMM Inhouse, Gap Setting &amp; Part fitment</t>
  </si>
  <si>
    <t>IO check &amp; electrical check</t>
  </si>
  <si>
    <t>Supplier self certification - M1, M2, Controls, Process &amp; Electrical HW</t>
  </si>
  <si>
    <t>Limited Trial, Buy-off &amp; Dispatch</t>
  </si>
  <si>
    <t>M&amp;M Sample Check - Process, M1 &amp; M2</t>
  </si>
  <si>
    <t>M&amp;M Sample Check - Electrical HW &amp; Controls</t>
  </si>
  <si>
    <t>Open points closing</t>
  </si>
  <si>
    <t>FINAL _ Buy-off</t>
  </si>
  <si>
    <t>Dismantling &amp; Packing</t>
  </si>
  <si>
    <t>Shipping &amp; Receipt @ Chakan</t>
  </si>
  <si>
    <t xml:space="preserve">Onsite </t>
  </si>
  <si>
    <t>Line Installation</t>
  </si>
  <si>
    <t>Commissioning &amp;  Trial Build</t>
  </si>
  <si>
    <t>TTO</t>
  </si>
  <si>
    <t>Ready for VP Build</t>
  </si>
  <si>
    <t>Mahindra /
tkAB</t>
  </si>
  <si>
    <t>PROCUREMENT PLAN MAHINDRA Z121</t>
  </si>
  <si>
    <t>Sno</t>
  </si>
  <si>
    <t>Item</t>
  </si>
  <si>
    <t>Mahindra _ Approval Details</t>
  </si>
  <si>
    <t>P1
CAB</t>
  </si>
  <si>
    <t>P2
CARGO</t>
  </si>
  <si>
    <t>P3
CLOSURES</t>
  </si>
  <si>
    <t>TOTAL</t>
  </si>
  <si>
    <t>Make</t>
  </si>
  <si>
    <t>Release required from</t>
  </si>
  <si>
    <t>Resp. Buyer</t>
  </si>
  <si>
    <t>Expected Release from Design</t>
  </si>
  <si>
    <t>Released Status</t>
  </si>
  <si>
    <t>RFQ Release from PSM</t>
  </si>
  <si>
    <t>Target PO date to supplier</t>
  </si>
  <si>
    <t>PO release to supplier</t>
  </si>
  <si>
    <t>PO No.</t>
  </si>
  <si>
    <t>Min. STD Lead time
in Weeks</t>
  </si>
  <si>
    <t>Delivery Date required @ tkAB</t>
  </si>
  <si>
    <t>Delivery date as per order acceptance</t>
  </si>
  <si>
    <t>Delay in Days</t>
  </si>
  <si>
    <t>REMARKS</t>
  </si>
  <si>
    <t>SEW Drives for Framer/Trunion/Turn Table</t>
  </si>
  <si>
    <t>SEW</t>
  </si>
  <si>
    <t>Prathamesh</t>
  </si>
  <si>
    <t>Suyog C.</t>
  </si>
  <si>
    <t>SEW motor for Framer</t>
  </si>
  <si>
    <t>SEW motor for Trunion</t>
  </si>
  <si>
    <t>SEW motor for Turn Table</t>
  </si>
  <si>
    <t xml:space="preserve">Turn Table </t>
  </si>
  <si>
    <t>Goizper</t>
  </si>
  <si>
    <t>Vilas</t>
  </si>
  <si>
    <t>Trunion</t>
  </si>
  <si>
    <t>Encoder Cables for Framer/Trunion/Turn table</t>
  </si>
  <si>
    <t>Narayan M.</t>
  </si>
  <si>
    <t>ROCKWELL  Drives for Conveyor ( PRB)</t>
  </si>
  <si>
    <t>AB</t>
  </si>
  <si>
    <t>Power Cylinders (Clamp/Guide./Compact) &amp; Fittings : Lot 1</t>
  </si>
  <si>
    <t>DESTACO</t>
  </si>
  <si>
    <t>Nilesh.G</t>
  </si>
  <si>
    <t>Brake Cylinder</t>
  </si>
  <si>
    <t>CKD</t>
  </si>
  <si>
    <t>Roller bed with lifter</t>
  </si>
  <si>
    <t xml:space="preserve">TUNKERS </t>
  </si>
  <si>
    <t>Roller bed without lifter</t>
  </si>
  <si>
    <t>TUNKERS</t>
  </si>
  <si>
    <t>Lifter Mechanism for roof bow</t>
  </si>
  <si>
    <t xml:space="preserve">Irobotic/ fine handling </t>
  </si>
  <si>
    <t>APC Hanger</t>
  </si>
  <si>
    <t>Shekhar.P</t>
  </si>
  <si>
    <t>Suction Cup ,Holder &amp; Vaccum Generator</t>
  </si>
  <si>
    <t>Piab</t>
  </si>
  <si>
    <t>PLC Control Panel M-Panel _x000B_(H 1800 x W2000 x D500),_x000B_Mounting Stand(H 200 x W2000 x D500)</t>
  </si>
  <si>
    <t>tkab</t>
  </si>
  <si>
    <t>RFQ submitted</t>
  </si>
  <si>
    <t>PLC Panel A-Panel_x000B_(H 1800 x W2000 x D500),_x000B_Mounting Stand(H 200 x W2000 x D500)</t>
  </si>
  <si>
    <t>Servo Drive Panel _x000B_ Main Framer/Trunion/Turn Table_x000B_(H 1800 x W2000 x D500),_x000B_Mounting Stand(H 200 x W2000 x D500)</t>
  </si>
  <si>
    <t>Safety Junction box_x000B_(H 800 x W 800 x D210),</t>
  </si>
  <si>
    <t>Manual Gun Junction box_x000B_(H 200 x W 440 x D 180)</t>
  </si>
  <si>
    <t>24VDC JB _x000B_(H 300 x W 300 x D120)</t>
  </si>
  <si>
    <t>TurnTable JB_x000B_(H 400 x W 500 x D120)</t>
  </si>
  <si>
    <t>Takeout station Box_x000B_(H 300 x W 120 x D xxx)</t>
  </si>
  <si>
    <t>Gate Box_x000B_(H 300 x W 300 x D 125),</t>
  </si>
  <si>
    <t>Single phase PDP panel_x000B_(H 1000 x W 800 x D 300)</t>
  </si>
  <si>
    <t>Vin Punching</t>
  </si>
  <si>
    <t>Gravotech</t>
  </si>
  <si>
    <t>Air and Preparation Unit</t>
  </si>
  <si>
    <t>FESTO</t>
  </si>
  <si>
    <t>WATER HEADER</t>
  </si>
  <si>
    <t>SMC</t>
  </si>
  <si>
    <t>WATER SAVER</t>
  </si>
  <si>
    <t>Proxi Sensors</t>
  </si>
  <si>
    <t>Contrinex</t>
  </si>
  <si>
    <t>Valve Bank/Fittings/Pneumatic Tube</t>
  </si>
  <si>
    <t>HMI with stand</t>
  </si>
  <si>
    <t>ROCKWELL</t>
  </si>
  <si>
    <t>Vinay</t>
  </si>
  <si>
    <t>Roller Bearings</t>
  </si>
  <si>
    <t>WINKEL</t>
  </si>
  <si>
    <t>Lubrication Fittings</t>
  </si>
  <si>
    <t>PERMA-TEC</t>
  </si>
  <si>
    <t>Strip Brushes</t>
  </si>
  <si>
    <t>Mink Bürsten</t>
  </si>
  <si>
    <t>Drive Shafts</t>
  </si>
  <si>
    <t>Elbe</t>
  </si>
  <si>
    <t>Drag Chains</t>
  </si>
  <si>
    <t>Igus</t>
  </si>
  <si>
    <t>Pipe Clamps</t>
  </si>
  <si>
    <t>Stauff</t>
  </si>
  <si>
    <t>Roller Limt Switches</t>
  </si>
  <si>
    <t>Schmersal</t>
  </si>
  <si>
    <t>Oilless Bushes</t>
  </si>
  <si>
    <t>Sankyo</t>
  </si>
  <si>
    <t>ATC Robot side</t>
  </si>
  <si>
    <t>WALTHER</t>
  </si>
  <si>
    <t xml:space="preserve">Rohit </t>
  </si>
  <si>
    <t>ATC Tool side</t>
  </si>
  <si>
    <t>Weld Guns</t>
  </si>
  <si>
    <t>OBARA</t>
  </si>
  <si>
    <t xml:space="preserve">Tip Dresser </t>
  </si>
  <si>
    <t>Robotic Sealant System</t>
  </si>
  <si>
    <t>PATVIN</t>
  </si>
  <si>
    <t xml:space="preserve"> </t>
  </si>
  <si>
    <t xml:space="preserve">Vision for Robotic Sealant System </t>
  </si>
  <si>
    <t>KEYENCE</t>
  </si>
  <si>
    <t>Vision for Pick and Place</t>
  </si>
  <si>
    <t>ISRA</t>
  </si>
  <si>
    <t xml:space="preserve">Robotic Stud </t>
  </si>
  <si>
    <t>Tucker</t>
  </si>
  <si>
    <t>Ethernet Cables</t>
  </si>
  <si>
    <t>MURR</t>
  </si>
  <si>
    <t>GateSwitch</t>
  </si>
  <si>
    <t>Euchner + Sick gate plug</t>
  </si>
  <si>
    <t>Risers/Mylars/Clamp arms/Pins/Unit Assy parts</t>
  </si>
  <si>
    <t>Local</t>
  </si>
  <si>
    <t>Mechanical BOC (Bush/ Magnets)</t>
  </si>
  <si>
    <t>Misumi</t>
  </si>
  <si>
    <t>Hardware items</t>
  </si>
  <si>
    <t>Unbrako</t>
  </si>
  <si>
    <t>Vikram.W</t>
  </si>
  <si>
    <t>Fixture Base</t>
  </si>
  <si>
    <t>LOCAL</t>
  </si>
  <si>
    <t>Fixture cable trays</t>
  </si>
  <si>
    <t>Hemming Beds</t>
  </si>
  <si>
    <t>Roller Head for Hemming</t>
  </si>
  <si>
    <t>Tkab</t>
  </si>
  <si>
    <t>Fabricated Grippers</t>
  </si>
  <si>
    <t>EGT grippers</t>
  </si>
  <si>
    <t>TUNKER/FEE</t>
  </si>
  <si>
    <t>Panel Wiring Cables</t>
  </si>
  <si>
    <t>Lapp</t>
  </si>
  <si>
    <t>Light Curtains</t>
  </si>
  <si>
    <t>SICK</t>
  </si>
  <si>
    <t>Safety Mats</t>
  </si>
  <si>
    <t>Field Wiring Cables</t>
  </si>
  <si>
    <t>Limit Switches</t>
  </si>
  <si>
    <t>Omron</t>
  </si>
  <si>
    <t>Circuit Breakers</t>
  </si>
  <si>
    <t>Siemens</t>
  </si>
  <si>
    <t>Relays/Relay Base/Door Switch/SMPS/Short Bars</t>
  </si>
  <si>
    <t>Fences</t>
  </si>
  <si>
    <t>TROAX / INHOUSE</t>
  </si>
  <si>
    <t>Sensor Cables</t>
  </si>
  <si>
    <t>Murr</t>
  </si>
  <si>
    <t>Tower Lamp</t>
  </si>
  <si>
    <t>Banner</t>
  </si>
  <si>
    <t>Push Buttons,Selctor Switch, E-stop,Lamps,Jumpers,End Plates,ILPB ,PB Box etc</t>
  </si>
  <si>
    <t>Schneider Electric</t>
  </si>
  <si>
    <t>Field Cable Trays</t>
  </si>
  <si>
    <t>Utility</t>
  </si>
  <si>
    <t>Nitin Shinde</t>
  </si>
  <si>
    <t>Robot Pedestals</t>
  </si>
  <si>
    <t>Tip Dresser Stands</t>
  </si>
  <si>
    <t>Weld Timer Stands</t>
  </si>
  <si>
    <t>PLC  Panel stands</t>
  </si>
  <si>
    <t>Bellows</t>
  </si>
  <si>
    <t>Hema</t>
  </si>
  <si>
    <t>Cone Clamping</t>
  </si>
  <si>
    <t>Ringspann</t>
  </si>
  <si>
    <t>Polyurethane Bumpers</t>
  </si>
  <si>
    <t>Enidine</t>
  </si>
  <si>
    <t>In process trollies</t>
  </si>
  <si>
    <t>Tackles</t>
  </si>
  <si>
    <t>FRL</t>
  </si>
  <si>
    <t>Festo/SMC</t>
  </si>
  <si>
    <t>FRP Templates</t>
  </si>
  <si>
    <t>Sealer Stand</t>
  </si>
  <si>
    <t xml:space="preserve">Loading Table </t>
  </si>
  <si>
    <t>Dresspack Installation (Service scope Only)</t>
  </si>
  <si>
    <t>Becker</t>
  </si>
  <si>
    <t>Trench Cover</t>
  </si>
  <si>
    <t>Platform</t>
  </si>
  <si>
    <t>Safety Guard</t>
  </si>
  <si>
    <t>Operator Box</t>
  </si>
  <si>
    <t>Fabricated</t>
  </si>
  <si>
    <t>Water Hoses</t>
  </si>
  <si>
    <t>Yasung/Becker</t>
  </si>
  <si>
    <t>Rolling Shutter</t>
  </si>
  <si>
    <t>Avians/Nivha</t>
  </si>
  <si>
    <t>Kiran R</t>
  </si>
  <si>
    <t>Rahul S</t>
  </si>
  <si>
    <t>Nilesh.G / Shekhar P</t>
  </si>
  <si>
    <t>APC 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</si>
</sst>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_ ;_ * \-#,##0_ ;_ * &quot;-&quot;_ ;_ @_ "/>
    <numFmt numFmtId="165" formatCode="_ * #,##0.00_ ;_ * \-#,##0.00_ ;_ * &quot;-&quot;??_ ;_ @_ "/>
    <numFmt numFmtId="166" formatCode="[$-409]d/mmm/yy;@"/>
    <numFmt numFmtId="167" formatCode="mmm\ d\,\ yyyy"/>
    <numFmt numFmtId="168" formatCode="d"/>
    <numFmt numFmtId="169" formatCode="[$-409]d&quot;-&quot;mmm&quot;-&quot;yy;@"/>
    <numFmt numFmtId="170" formatCode="[$-409]d&quot;-&quot;mmm;@"/>
    <numFmt numFmtId="171" formatCode="[$-409]dd\-mmm\-yy;@"/>
  </numFmts>
  <fonts count="5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 tint="0.34998626667073579"/>
      <name val="Cambria"/>
      <family val="2"/>
      <scheme val="major"/>
    </font>
    <font>
      <b/>
      <sz val="20"/>
      <color theme="4" tint="-0.249977111117893"/>
      <name val="Cambria"/>
      <family val="2"/>
      <scheme val="major"/>
    </font>
    <font>
      <u/>
      <sz val="11"/>
      <color indexed="12"/>
      <name val="Arial"/>
      <family val="2"/>
    </font>
    <font>
      <u/>
      <sz val="9"/>
      <color theme="4" tint="-0.249977111117893"/>
      <name val="Arial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돋움"/>
      <charset val="134"/>
    </font>
    <font>
      <sz val="1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indexed="53"/>
      <name val="Arial"/>
      <family val="2"/>
    </font>
    <font>
      <b/>
      <u/>
      <sz val="36"/>
      <color rgb="FF7030A0"/>
      <name val="Arial"/>
      <family val="2"/>
    </font>
    <font>
      <b/>
      <sz val="28"/>
      <color rgb="FF7030A0"/>
      <name val="Arial"/>
      <family val="2"/>
    </font>
    <font>
      <b/>
      <sz val="16"/>
      <color rgb="FF7030A0"/>
      <name val="Arial"/>
      <family val="2"/>
    </font>
    <font>
      <sz val="12"/>
      <name val="Arial"/>
      <family val="2"/>
    </font>
    <font>
      <b/>
      <sz val="14"/>
      <color indexed="53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6"/>
      <color indexed="53"/>
      <name val="Arial"/>
      <family val="2"/>
    </font>
    <font>
      <sz val="16"/>
      <name val="Arial"/>
      <family val="2"/>
    </font>
    <font>
      <b/>
      <sz val="18"/>
      <color theme="1"/>
      <name val="Calibri"/>
      <family val="2"/>
      <scheme val="minor"/>
    </font>
    <font>
      <sz val="16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7CE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indexed="64"/>
      </top>
      <bottom style="medium">
        <color theme="0" tint="-0.14996795556505021"/>
      </bottom>
      <diagonal/>
    </border>
    <border>
      <left style="hair">
        <color rgb="FF969696"/>
      </left>
      <right style="hair">
        <color rgb="FF969696"/>
      </right>
      <top style="medium">
        <color indexed="64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hair">
        <color rgb="FF969696"/>
      </left>
      <right style="hair">
        <color rgb="FF969696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indexed="64"/>
      </bottom>
      <diagonal/>
    </border>
    <border>
      <left style="hair">
        <color rgb="FF969696"/>
      </left>
      <right style="hair">
        <color rgb="FF969696"/>
      </right>
      <top style="medium">
        <color theme="0" tint="-0.14996795556505021"/>
      </top>
      <bottom style="medium">
        <color indexed="64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indexed="64"/>
      </bottom>
      <diagonal/>
    </border>
  </borders>
  <cellStyleXfs count="27">
    <xf numFmtId="0" fontId="0" fillId="0" borderId="0"/>
    <xf numFmtId="0" fontId="15" fillId="0" borderId="0"/>
    <xf numFmtId="0" fontId="16" fillId="0" borderId="0"/>
    <xf numFmtId="0" fontId="15" fillId="0" borderId="0"/>
    <xf numFmtId="0" fontId="12" fillId="0" borderId="0"/>
    <xf numFmtId="0" fontId="22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165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52" applyFill="0">
      <alignment horizontal="left" vertical="center" indent="2"/>
    </xf>
    <xf numFmtId="9" fontId="7" fillId="0" borderId="0" applyFont="0" applyFill="0" applyBorder="0" applyAlignment="0" applyProtection="0"/>
    <xf numFmtId="0" fontId="6" fillId="0" borderId="0"/>
    <xf numFmtId="0" fontId="6" fillId="0" borderId="52" applyFill="0">
      <alignment horizontal="left" vertical="center" indent="2"/>
    </xf>
    <xf numFmtId="9" fontId="6" fillId="0" borderId="0" applyFont="0" applyFill="0" applyBorder="0" applyAlignment="0" applyProtection="0"/>
    <xf numFmtId="0" fontId="5" fillId="0" borderId="0"/>
    <xf numFmtId="0" fontId="51" fillId="22" borderId="0" applyNumberFormat="0" applyBorder="0" applyAlignment="0" applyProtection="0"/>
    <xf numFmtId="0" fontId="4" fillId="0" borderId="0"/>
    <xf numFmtId="0" fontId="3" fillId="0" borderId="0"/>
  </cellStyleXfs>
  <cellXfs count="287">
    <xf numFmtId="0" fontId="0" fillId="0" borderId="0" xfId="0"/>
    <xf numFmtId="0" fontId="12" fillId="0" borderId="1" xfId="4" applyBorder="1"/>
    <xf numFmtId="0" fontId="12" fillId="0" borderId="2" xfId="4" applyBorder="1"/>
    <xf numFmtId="0" fontId="20" fillId="0" borderId="2" xfId="4" applyFont="1" applyBorder="1"/>
    <xf numFmtId="0" fontId="21" fillId="0" borderId="2" xfId="4" applyFont="1" applyBorder="1" applyAlignment="1">
      <alignment horizontal="left"/>
    </xf>
    <xf numFmtId="0" fontId="12" fillId="0" borderId="0" xfId="4"/>
    <xf numFmtId="0" fontId="17" fillId="0" borderId="0" xfId="4" applyFont="1"/>
    <xf numFmtId="0" fontId="12" fillId="0" borderId="0" xfId="4" applyAlignment="1">
      <alignment horizontal="right" vertical="center"/>
    </xf>
    <xf numFmtId="166" fontId="12" fillId="0" borderId="0" xfId="4" applyNumberFormat="1" applyAlignment="1">
      <alignment horizontal="center" vertical="center"/>
    </xf>
    <xf numFmtId="0" fontId="12" fillId="0" borderId="45" xfId="4" applyBorder="1" applyAlignment="1">
      <alignment horizontal="center" vertical="center"/>
    </xf>
    <xf numFmtId="0" fontId="12" fillId="0" borderId="3" xfId="4" applyBorder="1" applyAlignment="1">
      <alignment horizontal="right" vertical="center"/>
    </xf>
    <xf numFmtId="0" fontId="12" fillId="0" borderId="0" xfId="4" applyAlignment="1">
      <alignment horizontal="center"/>
    </xf>
    <xf numFmtId="168" fontId="24" fillId="9" borderId="49" xfId="4" applyNumberFormat="1" applyFont="1" applyFill="1" applyBorder="1" applyAlignment="1">
      <alignment horizontal="center" vertical="center"/>
    </xf>
    <xf numFmtId="168" fontId="24" fillId="9" borderId="0" xfId="4" applyNumberFormat="1" applyFont="1" applyFill="1" applyAlignment="1">
      <alignment horizontal="center" vertical="center"/>
    </xf>
    <xf numFmtId="168" fontId="24" fillId="9" borderId="50" xfId="4" applyNumberFormat="1" applyFont="1" applyFill="1" applyBorder="1" applyAlignment="1">
      <alignment horizontal="center" vertical="center"/>
    </xf>
    <xf numFmtId="0" fontId="25" fillId="10" borderId="40" xfId="4" applyFont="1" applyFill="1" applyBorder="1" applyAlignment="1">
      <alignment vertical="center"/>
    </xf>
    <xf numFmtId="0" fontId="25" fillId="10" borderId="2" xfId="4" applyFont="1" applyFill="1" applyBorder="1" applyAlignment="1">
      <alignment horizontal="center" vertical="center" wrapText="1"/>
    </xf>
    <xf numFmtId="0" fontId="25" fillId="10" borderId="40" xfId="4" applyFont="1" applyFill="1" applyBorder="1" applyAlignment="1">
      <alignment horizontal="center" vertical="center" wrapText="1"/>
    </xf>
    <xf numFmtId="0" fontId="25" fillId="10" borderId="47" xfId="4" applyFont="1" applyFill="1" applyBorder="1" applyAlignment="1">
      <alignment horizontal="center" vertical="center" wrapText="1"/>
    </xf>
    <xf numFmtId="0" fontId="26" fillId="11" borderId="51" xfId="4" applyFont="1" applyFill="1" applyBorder="1" applyAlignment="1">
      <alignment horizontal="center" vertical="center" shrinkToFit="1"/>
    </xf>
    <xf numFmtId="0" fontId="26" fillId="11" borderId="50" xfId="4" applyFont="1" applyFill="1" applyBorder="1" applyAlignment="1">
      <alignment horizontal="center" vertical="center" shrinkToFit="1"/>
    </xf>
    <xf numFmtId="0" fontId="27" fillId="0" borderId="52" xfId="4" applyFont="1" applyBorder="1" applyAlignment="1">
      <alignment horizontal="center" vertical="center"/>
    </xf>
    <xf numFmtId="0" fontId="12" fillId="0" borderId="53" xfId="4" applyBorder="1" applyAlignment="1">
      <alignment vertical="center"/>
    </xf>
    <xf numFmtId="0" fontId="12" fillId="0" borderId="54" xfId="4" applyBorder="1" applyAlignment="1">
      <alignment vertical="center"/>
    </xf>
    <xf numFmtId="0" fontId="12" fillId="0" borderId="55" xfId="4" applyBorder="1" applyAlignment="1">
      <alignment vertical="center"/>
    </xf>
    <xf numFmtId="0" fontId="12" fillId="0" borderId="56" xfId="4" applyBorder="1" applyAlignment="1">
      <alignment vertical="center"/>
    </xf>
    <xf numFmtId="0" fontId="12" fillId="0" borderId="57" xfId="4" applyBorder="1" applyAlignment="1">
      <alignment vertical="center"/>
    </xf>
    <xf numFmtId="0" fontId="12" fillId="0" borderId="58" xfId="4" applyBorder="1" applyAlignment="1">
      <alignment vertical="center"/>
    </xf>
    <xf numFmtId="0" fontId="12" fillId="0" borderId="0" xfId="4" applyAlignment="1">
      <alignment vertical="center"/>
    </xf>
    <xf numFmtId="0" fontId="12" fillId="0" borderId="59" xfId="4" applyBorder="1" applyAlignment="1">
      <alignment vertical="center"/>
    </xf>
    <xf numFmtId="0" fontId="12" fillId="0" borderId="60" xfId="4" applyBorder="1" applyAlignment="1">
      <alignment vertical="center"/>
    </xf>
    <xf numFmtId="0" fontId="12" fillId="0" borderId="61" xfId="4" applyBorder="1" applyAlignment="1">
      <alignment vertical="center"/>
    </xf>
    <xf numFmtId="0" fontId="12" fillId="0" borderId="62" xfId="4" applyBorder="1" applyAlignment="1">
      <alignment vertical="center"/>
    </xf>
    <xf numFmtId="0" fontId="12" fillId="0" borderId="63" xfId="4" applyBorder="1" applyAlignment="1">
      <alignment vertical="center"/>
    </xf>
    <xf numFmtId="0" fontId="12" fillId="0" borderId="64" xfId="4" applyBorder="1" applyAlignment="1">
      <alignment vertical="center"/>
    </xf>
    <xf numFmtId="0" fontId="27" fillId="0" borderId="52" xfId="4" applyFont="1" applyBorder="1" applyAlignment="1">
      <alignment horizontal="left" vertical="center"/>
    </xf>
    <xf numFmtId="0" fontId="12" fillId="0" borderId="60" xfId="4" applyBorder="1" applyAlignment="1">
      <alignment horizontal="right" vertical="center"/>
    </xf>
    <xf numFmtId="0" fontId="27" fillId="16" borderId="52" xfId="4" applyFont="1" applyFill="1" applyBorder="1" applyAlignment="1">
      <alignment horizontal="center" vertical="center"/>
    </xf>
    <xf numFmtId="0" fontId="23" fillId="0" borderId="2" xfId="5" applyFont="1" applyBorder="1" applyAlignment="1" applyProtection="1">
      <alignment vertical="center"/>
    </xf>
    <xf numFmtId="0" fontId="17" fillId="0" borderId="3" xfId="4" applyFont="1" applyBorder="1" applyAlignment="1">
      <alignment vertical="top"/>
    </xf>
    <xf numFmtId="0" fontId="17" fillId="0" borderId="0" xfId="4" applyFont="1" applyAlignment="1">
      <alignment vertical="top"/>
    </xf>
    <xf numFmtId="0" fontId="32" fillId="0" borderId="61" xfId="4" applyFont="1" applyBorder="1" applyAlignment="1">
      <alignment vertical="center"/>
    </xf>
    <xf numFmtId="0" fontId="12" fillId="0" borderId="65" xfId="4" applyBorder="1" applyAlignment="1">
      <alignment vertical="center"/>
    </xf>
    <xf numFmtId="0" fontId="12" fillId="0" borderId="66" xfId="4" applyBorder="1" applyAlignment="1">
      <alignment vertical="center"/>
    </xf>
    <xf numFmtId="0" fontId="12" fillId="0" borderId="71" xfId="4" applyBorder="1" applyAlignment="1">
      <alignment vertical="center"/>
    </xf>
    <xf numFmtId="0" fontId="12" fillId="0" borderId="72" xfId="4" applyBorder="1" applyAlignment="1">
      <alignment vertical="center"/>
    </xf>
    <xf numFmtId="0" fontId="12" fillId="0" borderId="73" xfId="4" applyBorder="1" applyAlignment="1">
      <alignment vertical="center"/>
    </xf>
    <xf numFmtId="0" fontId="12" fillId="0" borderId="67" xfId="4" applyBorder="1" applyAlignment="1">
      <alignment vertical="center"/>
    </xf>
    <xf numFmtId="0" fontId="25" fillId="10" borderId="11" xfId="4" applyFont="1" applyFill="1" applyBorder="1" applyAlignment="1">
      <alignment horizontal="center" vertical="center" wrapText="1"/>
    </xf>
    <xf numFmtId="166" fontId="6" fillId="7" borderId="24" xfId="20" applyNumberFormat="1" applyFill="1" applyBorder="1" applyAlignment="1">
      <alignment horizontal="center" vertical="center"/>
    </xf>
    <xf numFmtId="166" fontId="6" fillId="7" borderId="25" xfId="20" applyNumberFormat="1" applyFill="1" applyBorder="1" applyAlignment="1">
      <alignment horizontal="center" vertical="center"/>
    </xf>
    <xf numFmtId="166" fontId="6" fillId="7" borderId="27" xfId="20" applyNumberFormat="1" applyFill="1" applyBorder="1" applyAlignment="1">
      <alignment horizontal="center" vertical="center"/>
    </xf>
    <xf numFmtId="166" fontId="6" fillId="7" borderId="9" xfId="20" applyNumberFormat="1" applyFill="1" applyBorder="1" applyAlignment="1">
      <alignment horizontal="center" vertical="center"/>
    </xf>
    <xf numFmtId="9" fontId="31" fillId="7" borderId="22" xfId="6" applyFont="1" applyFill="1" applyBorder="1" applyAlignment="1">
      <alignment horizontal="center" vertical="center"/>
    </xf>
    <xf numFmtId="166" fontId="13" fillId="7" borderId="24" xfId="4" applyNumberFormat="1" applyFont="1" applyFill="1" applyBorder="1" applyAlignment="1">
      <alignment horizontal="center" vertical="center"/>
    </xf>
    <xf numFmtId="166" fontId="13" fillId="7" borderId="25" xfId="4" applyNumberFormat="1" applyFont="1" applyFill="1" applyBorder="1" applyAlignment="1">
      <alignment horizontal="center" vertical="center"/>
    </xf>
    <xf numFmtId="166" fontId="13" fillId="12" borderId="26" xfId="4" applyNumberFormat="1" applyFont="1" applyFill="1" applyBorder="1" applyAlignment="1">
      <alignment horizontal="center" vertical="center"/>
    </xf>
    <xf numFmtId="166" fontId="13" fillId="7" borderId="27" xfId="4" applyNumberFormat="1" applyFont="1" applyFill="1" applyBorder="1" applyAlignment="1">
      <alignment horizontal="center" vertical="center"/>
    </xf>
    <xf numFmtId="166" fontId="13" fillId="7" borderId="9" xfId="4" applyNumberFormat="1" applyFont="1" applyFill="1" applyBorder="1" applyAlignment="1">
      <alignment horizontal="center" vertical="center"/>
    </xf>
    <xf numFmtId="166" fontId="13" fillId="4" borderId="28" xfId="4" applyNumberFormat="1" applyFont="1" applyFill="1" applyBorder="1" applyAlignment="1">
      <alignment horizontal="center" vertical="center"/>
    </xf>
    <xf numFmtId="166" fontId="13" fillId="12" borderId="28" xfId="4" applyNumberFormat="1" applyFont="1" applyFill="1" applyBorder="1" applyAlignment="1">
      <alignment horizontal="center" vertical="center"/>
    </xf>
    <xf numFmtId="9" fontId="49" fillId="7" borderId="22" xfId="6" applyFont="1" applyFill="1" applyBorder="1" applyAlignment="1">
      <alignment horizontal="center" vertical="center"/>
    </xf>
    <xf numFmtId="166" fontId="48" fillId="7" borderId="27" xfId="4" applyNumberFormat="1" applyFont="1" applyFill="1" applyBorder="1" applyAlignment="1">
      <alignment horizontal="center" vertical="center"/>
    </xf>
    <xf numFmtId="166" fontId="48" fillId="7" borderId="9" xfId="4" applyNumberFormat="1" applyFont="1" applyFill="1" applyBorder="1" applyAlignment="1">
      <alignment horizontal="center" vertical="center"/>
    </xf>
    <xf numFmtId="9" fontId="49" fillId="7" borderId="23" xfId="6" applyFont="1" applyFill="1" applyBorder="1" applyAlignment="1">
      <alignment horizontal="center" vertical="center"/>
    </xf>
    <xf numFmtId="166" fontId="48" fillId="7" borderId="10" xfId="4" applyNumberFormat="1" applyFont="1" applyFill="1" applyBorder="1" applyAlignment="1">
      <alignment horizontal="center" vertical="center"/>
    </xf>
    <xf numFmtId="166" fontId="13" fillId="4" borderId="30" xfId="4" applyNumberFormat="1" applyFont="1" applyFill="1" applyBorder="1" applyAlignment="1">
      <alignment horizontal="center" vertical="center"/>
    </xf>
    <xf numFmtId="166" fontId="48" fillId="7" borderId="13" xfId="4" applyNumberFormat="1" applyFont="1" applyFill="1" applyBorder="1" applyAlignment="1">
      <alignment horizontal="center" vertical="center"/>
    </xf>
    <xf numFmtId="166" fontId="48" fillId="7" borderId="14" xfId="4" applyNumberFormat="1" applyFont="1" applyFill="1" applyBorder="1" applyAlignment="1">
      <alignment horizontal="center" vertical="center"/>
    </xf>
    <xf numFmtId="166" fontId="13" fillId="4" borderId="29" xfId="4" applyNumberFormat="1" applyFont="1" applyFill="1" applyBorder="1" applyAlignment="1">
      <alignment horizontal="center" vertical="center"/>
    </xf>
    <xf numFmtId="166" fontId="13" fillId="7" borderId="16" xfId="4" applyNumberFormat="1" applyFont="1" applyFill="1" applyBorder="1" applyAlignment="1">
      <alignment horizontal="center" vertical="center"/>
    </xf>
    <xf numFmtId="166" fontId="13" fillId="7" borderId="8" xfId="4" applyNumberFormat="1" applyFont="1" applyFill="1" applyBorder="1" applyAlignment="1">
      <alignment horizontal="center" vertical="center"/>
    </xf>
    <xf numFmtId="166" fontId="13" fillId="12" borderId="31" xfId="4" applyNumberFormat="1" applyFont="1" applyFill="1" applyBorder="1" applyAlignment="1">
      <alignment horizontal="center" vertical="center"/>
    </xf>
    <xf numFmtId="166" fontId="13" fillId="7" borderId="17" xfId="4" applyNumberFormat="1" applyFont="1" applyFill="1" applyBorder="1" applyAlignment="1">
      <alignment horizontal="center" vertical="center"/>
    </xf>
    <xf numFmtId="166" fontId="13" fillId="7" borderId="41" xfId="4" applyNumberFormat="1" applyFont="1" applyFill="1" applyBorder="1" applyAlignment="1">
      <alignment horizontal="center" vertical="center"/>
    </xf>
    <xf numFmtId="166" fontId="13" fillId="7" borderId="37" xfId="4" applyNumberFormat="1" applyFont="1" applyFill="1" applyBorder="1" applyAlignment="1">
      <alignment horizontal="center" vertical="center"/>
    </xf>
    <xf numFmtId="166" fontId="13" fillId="7" borderId="14" xfId="4" applyNumberFormat="1" applyFont="1" applyFill="1" applyBorder="1" applyAlignment="1">
      <alignment horizontal="center" vertical="center"/>
    </xf>
    <xf numFmtId="9" fontId="49" fillId="7" borderId="21" xfId="6" applyFont="1" applyFill="1" applyBorder="1" applyAlignment="1">
      <alignment horizontal="center" vertical="center"/>
    </xf>
    <xf numFmtId="166" fontId="48" fillId="7" borderId="17" xfId="4" applyNumberFormat="1" applyFont="1" applyFill="1" applyBorder="1" applyAlignment="1">
      <alignment horizontal="center" vertical="center"/>
    </xf>
    <xf numFmtId="166" fontId="48" fillId="7" borderId="36" xfId="4" applyNumberFormat="1" applyFont="1" applyFill="1" applyBorder="1" applyAlignment="1">
      <alignment horizontal="center" vertical="center"/>
    </xf>
    <xf numFmtId="166" fontId="48" fillId="7" borderId="25" xfId="4" applyNumberFormat="1" applyFont="1" applyFill="1" applyBorder="1" applyAlignment="1">
      <alignment horizontal="center" vertical="center"/>
    </xf>
    <xf numFmtId="0" fontId="50" fillId="0" borderId="9" xfId="0" applyFont="1" applyBorder="1" applyAlignment="1">
      <alignment vertical="center" wrapText="1"/>
    </xf>
    <xf numFmtId="166" fontId="13" fillId="7" borderId="38" xfId="4" applyNumberFormat="1" applyFont="1" applyFill="1" applyBorder="1" applyAlignment="1">
      <alignment horizontal="center" vertical="center"/>
    </xf>
    <xf numFmtId="166" fontId="13" fillId="7" borderId="10" xfId="4" applyNumberFormat="1" applyFont="1" applyFill="1" applyBorder="1" applyAlignment="1">
      <alignment horizontal="center" vertical="center"/>
    </xf>
    <xf numFmtId="0" fontId="14" fillId="0" borderId="2" xfId="4" applyFont="1" applyBorder="1"/>
    <xf numFmtId="0" fontId="14" fillId="0" borderId="2" xfId="4" applyFont="1" applyBorder="1" applyAlignment="1">
      <alignment horizontal="center"/>
    </xf>
    <xf numFmtId="0" fontId="14" fillId="0" borderId="2" xfId="4" applyFont="1" applyBorder="1" applyAlignment="1">
      <alignment horizontal="right" vertical="center"/>
    </xf>
    <xf numFmtId="9" fontId="49" fillId="7" borderId="34" xfId="6" applyFont="1" applyFill="1" applyBorder="1" applyAlignment="1">
      <alignment horizontal="center" vertical="center"/>
    </xf>
    <xf numFmtId="166" fontId="48" fillId="7" borderId="16" xfId="4" applyNumberFormat="1" applyFont="1" applyFill="1" applyBorder="1" applyAlignment="1">
      <alignment horizontal="center" vertical="center"/>
    </xf>
    <xf numFmtId="166" fontId="48" fillId="7" borderId="8" xfId="4" applyNumberFormat="1" applyFont="1" applyFill="1" applyBorder="1" applyAlignment="1">
      <alignment horizontal="center" vertical="center"/>
    </xf>
    <xf numFmtId="166" fontId="13" fillId="7" borderId="36" xfId="4" applyNumberFormat="1" applyFont="1" applyFill="1" applyBorder="1" applyAlignment="1">
      <alignment horizontal="center" vertical="center"/>
    </xf>
    <xf numFmtId="9" fontId="49" fillId="7" borderId="32" xfId="6" applyFont="1" applyFill="1" applyBorder="1" applyAlignment="1">
      <alignment horizontal="center" vertical="center"/>
    </xf>
    <xf numFmtId="166" fontId="48" fillId="7" borderId="19" xfId="4" applyNumberFormat="1" applyFont="1" applyFill="1" applyBorder="1" applyAlignment="1">
      <alignment horizontal="center" vertical="center"/>
    </xf>
    <xf numFmtId="0" fontId="27" fillId="0" borderId="77" xfId="4" applyFont="1" applyBorder="1" applyAlignment="1">
      <alignment horizontal="center" vertical="center"/>
    </xf>
    <xf numFmtId="0" fontId="27" fillId="0" borderId="76" xfId="4" applyFont="1" applyBorder="1" applyAlignment="1">
      <alignment horizontal="center" vertical="center"/>
    </xf>
    <xf numFmtId="0" fontId="27" fillId="0" borderId="78" xfId="4" applyFont="1" applyBorder="1" applyAlignment="1">
      <alignment horizontal="center" vertical="center"/>
    </xf>
    <xf numFmtId="0" fontId="27" fillId="0" borderId="79" xfId="4" applyFont="1" applyBorder="1" applyAlignment="1">
      <alignment horizontal="center" vertical="center"/>
    </xf>
    <xf numFmtId="0" fontId="12" fillId="0" borderId="5" xfId="4" applyBorder="1"/>
    <xf numFmtId="0" fontId="27" fillId="0" borderId="80" xfId="4" applyFont="1" applyBorder="1" applyAlignment="1">
      <alignment horizontal="center" vertical="center"/>
    </xf>
    <xf numFmtId="0" fontId="27" fillId="0" borderId="81" xfId="4" applyFont="1" applyBorder="1" applyAlignment="1">
      <alignment horizontal="center" vertical="center"/>
    </xf>
    <xf numFmtId="0" fontId="27" fillId="0" borderId="82" xfId="4" applyFont="1" applyBorder="1" applyAlignment="1">
      <alignment horizontal="center" vertical="center"/>
    </xf>
    <xf numFmtId="0" fontId="4" fillId="0" borderId="0" xfId="25" applyAlignment="1">
      <alignment horizontal="center" vertical="center"/>
    </xf>
    <xf numFmtId="0" fontId="4" fillId="0" borderId="0" xfId="25" applyAlignment="1">
      <alignment horizontal="left" vertical="center" wrapText="1"/>
    </xf>
    <xf numFmtId="0" fontId="4" fillId="0" borderId="0" xfId="25" applyAlignment="1">
      <alignment horizontal="center" vertical="center" wrapText="1"/>
    </xf>
    <xf numFmtId="14" fontId="4" fillId="0" borderId="0" xfId="25" applyNumberFormat="1" applyAlignment="1">
      <alignment horizontal="center" vertical="center"/>
    </xf>
    <xf numFmtId="171" fontId="4" fillId="0" borderId="0" xfId="25" applyNumberFormat="1" applyAlignment="1">
      <alignment horizontal="center" vertical="center"/>
    </xf>
    <xf numFmtId="2" fontId="4" fillId="0" borderId="0" xfId="25" applyNumberFormat="1" applyAlignment="1">
      <alignment horizontal="center" vertical="center"/>
    </xf>
    <xf numFmtId="0" fontId="19" fillId="21" borderId="9" xfId="25" applyFont="1" applyFill="1" applyBorder="1" applyAlignment="1">
      <alignment horizontal="center" vertical="center"/>
    </xf>
    <xf numFmtId="0" fontId="19" fillId="21" borderId="9" xfId="25" applyFont="1" applyFill="1" applyBorder="1" applyAlignment="1">
      <alignment horizontal="left" vertical="center" wrapText="1"/>
    </xf>
    <xf numFmtId="0" fontId="19" fillId="21" borderId="9" xfId="25" applyFont="1" applyFill="1" applyBorder="1" applyAlignment="1">
      <alignment horizontal="center" vertical="center" wrapText="1"/>
    </xf>
    <xf numFmtId="171" fontId="19" fillId="21" borderId="9" xfId="25" applyNumberFormat="1" applyFont="1" applyFill="1" applyBorder="1" applyAlignment="1">
      <alignment horizontal="center" vertical="center" wrapText="1"/>
    </xf>
    <xf numFmtId="0" fontId="13" fillId="0" borderId="0" xfId="25" applyFont="1" applyAlignment="1">
      <alignment horizontal="center" vertical="center"/>
    </xf>
    <xf numFmtId="0" fontId="4" fillId="0" borderId="9" xfId="25" applyBorder="1" applyAlignment="1">
      <alignment horizontal="left" vertical="center" wrapText="1"/>
    </xf>
    <xf numFmtId="0" fontId="4" fillId="0" borderId="9" xfId="25" applyBorder="1" applyAlignment="1">
      <alignment horizontal="center" vertical="center" wrapText="1"/>
    </xf>
    <xf numFmtId="0" fontId="4" fillId="5" borderId="9" xfId="25" applyFill="1" applyBorder="1" applyAlignment="1">
      <alignment horizontal="center" vertical="center" wrapText="1"/>
    </xf>
    <xf numFmtId="0" fontId="4" fillId="0" borderId="9" xfId="25" applyBorder="1" applyAlignment="1">
      <alignment horizontal="center" vertical="center"/>
    </xf>
    <xf numFmtId="171" fontId="4" fillId="0" borderId="9" xfId="25" applyNumberFormat="1" applyBorder="1" applyAlignment="1">
      <alignment horizontal="center" vertical="center"/>
    </xf>
    <xf numFmtId="49" fontId="4" fillId="0" borderId="9" xfId="25" applyNumberFormat="1" applyBorder="1" applyAlignment="1">
      <alignment horizontal="center" vertical="center"/>
    </xf>
    <xf numFmtId="0" fontId="4" fillId="5" borderId="9" xfId="25" applyFill="1" applyBorder="1" applyAlignment="1">
      <alignment horizontal="center" vertical="center"/>
    </xf>
    <xf numFmtId="171" fontId="51" fillId="0" borderId="9" xfId="24" applyNumberFormat="1" applyFill="1" applyBorder="1" applyAlignment="1">
      <alignment horizontal="center" vertical="center"/>
    </xf>
    <xf numFmtId="0" fontId="35" fillId="0" borderId="9" xfId="25" applyFont="1" applyBorder="1" applyAlignment="1">
      <alignment horizontal="center" vertical="center"/>
    </xf>
    <xf numFmtId="0" fontId="52" fillId="0" borderId="9" xfId="25" applyFont="1" applyBorder="1" applyAlignment="1">
      <alignment horizontal="center" vertical="center" wrapText="1"/>
    </xf>
    <xf numFmtId="0" fontId="4" fillId="2" borderId="9" xfId="25" applyFill="1" applyBorder="1" applyAlignment="1">
      <alignment horizontal="center" vertical="center"/>
    </xf>
    <xf numFmtId="0" fontId="4" fillId="8" borderId="9" xfId="25" applyFill="1" applyBorder="1" applyAlignment="1">
      <alignment horizontal="center" vertical="center"/>
    </xf>
    <xf numFmtId="0" fontId="4" fillId="17" borderId="9" xfId="25" applyFill="1" applyBorder="1" applyAlignment="1">
      <alignment horizontal="center" vertical="center"/>
    </xf>
    <xf numFmtId="17" fontId="35" fillId="0" borderId="9" xfId="25" applyNumberFormat="1" applyFont="1" applyBorder="1" applyAlignment="1">
      <alignment horizontal="center" vertical="center"/>
    </xf>
    <xf numFmtId="171" fontId="4" fillId="5" borderId="9" xfId="25" applyNumberFormat="1" applyFill="1" applyBorder="1" applyAlignment="1">
      <alignment horizontal="center" vertical="center"/>
    </xf>
    <xf numFmtId="0" fontId="4" fillId="0" borderId="9" xfId="25" applyBorder="1"/>
    <xf numFmtId="49" fontId="4" fillId="0" borderId="9" xfId="25" applyNumberFormat="1" applyBorder="1"/>
    <xf numFmtId="15" fontId="4" fillId="0" borderId="9" xfId="25" applyNumberFormat="1" applyBorder="1" applyAlignment="1">
      <alignment horizontal="center" vertical="center"/>
    </xf>
    <xf numFmtId="0" fontId="19" fillId="21" borderId="27" xfId="25" applyFont="1" applyFill="1" applyBorder="1" applyAlignment="1">
      <alignment horizontal="center" vertical="center"/>
    </xf>
    <xf numFmtId="0" fontId="19" fillId="21" borderId="28" xfId="25" applyFont="1" applyFill="1" applyBorder="1" applyAlignment="1">
      <alignment horizontal="center" vertical="center"/>
    </xf>
    <xf numFmtId="0" fontId="33" fillId="0" borderId="27" xfId="25" applyFont="1" applyBorder="1" applyAlignment="1">
      <alignment horizontal="center" vertical="center"/>
    </xf>
    <xf numFmtId="0" fontId="4" fillId="0" borderId="28" xfId="25" applyBorder="1" applyAlignment="1">
      <alignment horizontal="center" vertical="center"/>
    </xf>
    <xf numFmtId="0" fontId="4" fillId="0" borderId="28" xfId="25" applyBorder="1" applyAlignment="1">
      <alignment horizontal="center" vertical="center" wrapText="1"/>
    </xf>
    <xf numFmtId="0" fontId="33" fillId="0" borderId="28" xfId="25" applyFont="1" applyBorder="1" applyAlignment="1">
      <alignment horizontal="center" vertical="center"/>
    </xf>
    <xf numFmtId="0" fontId="4" fillId="0" borderId="14" xfId="25" applyBorder="1" applyAlignment="1">
      <alignment horizontal="center" vertical="center" wrapText="1"/>
    </xf>
    <xf numFmtId="0" fontId="4" fillId="5" borderId="14" xfId="25" applyFill="1" applyBorder="1" applyAlignment="1">
      <alignment horizontal="center" vertical="center" wrapText="1"/>
    </xf>
    <xf numFmtId="0" fontId="4" fillId="0" borderId="14" xfId="25" applyBorder="1" applyAlignment="1">
      <alignment horizontal="center" vertical="center"/>
    </xf>
    <xf numFmtId="171" fontId="4" fillId="0" borderId="14" xfId="25" applyNumberFormat="1" applyBorder="1" applyAlignment="1">
      <alignment horizontal="center" vertical="center"/>
    </xf>
    <xf numFmtId="0" fontId="4" fillId="0" borderId="29" xfId="25" applyBorder="1" applyAlignment="1">
      <alignment horizontal="center" vertical="center"/>
    </xf>
    <xf numFmtId="0" fontId="36" fillId="0" borderId="0" xfId="26" applyFont="1" applyAlignment="1" applyProtection="1">
      <alignment horizontal="center" vertical="center"/>
      <protection locked="0"/>
    </xf>
    <xf numFmtId="0" fontId="39" fillId="3" borderId="9" xfId="26" applyFont="1" applyFill="1" applyBorder="1" applyAlignment="1" applyProtection="1">
      <alignment vertical="center"/>
      <protection locked="0"/>
    </xf>
    <xf numFmtId="0" fontId="39" fillId="19" borderId="9" xfId="26" applyFont="1" applyFill="1" applyBorder="1" applyAlignment="1" applyProtection="1">
      <alignment horizontal="center"/>
      <protection locked="0"/>
    </xf>
    <xf numFmtId="0" fontId="38" fillId="19" borderId="0" xfId="26" applyFont="1" applyFill="1" applyAlignment="1" applyProtection="1">
      <alignment vertical="center" wrapText="1"/>
      <protection locked="0"/>
    </xf>
    <xf numFmtId="0" fontId="40" fillId="0" borderId="0" xfId="26" applyFont="1" applyAlignment="1" applyProtection="1">
      <alignment vertical="center"/>
      <protection locked="0"/>
    </xf>
    <xf numFmtId="0" fontId="39" fillId="5" borderId="9" xfId="26" applyFont="1" applyFill="1" applyBorder="1" applyAlignment="1" applyProtection="1">
      <alignment vertical="center"/>
      <protection locked="0"/>
    </xf>
    <xf numFmtId="0" fontId="39" fillId="18" borderId="9" xfId="26" applyFont="1" applyFill="1" applyBorder="1" applyAlignment="1" applyProtection="1">
      <alignment vertical="center"/>
      <protection locked="0"/>
    </xf>
    <xf numFmtId="0" fontId="36" fillId="0" borderId="0" xfId="26" applyFont="1" applyAlignment="1" applyProtection="1">
      <alignment horizontal="center" vertical="center" textRotation="90"/>
      <protection locked="0"/>
    </xf>
    <xf numFmtId="0" fontId="39" fillId="19" borderId="9" xfId="26" applyFont="1" applyFill="1" applyBorder="1" applyAlignment="1" applyProtection="1">
      <alignment vertical="center"/>
      <protection locked="0"/>
    </xf>
    <xf numFmtId="0" fontId="38" fillId="19" borderId="69" xfId="26" applyFont="1" applyFill="1" applyBorder="1" applyAlignment="1" applyProtection="1">
      <alignment vertical="center" wrapText="1"/>
      <protection locked="0"/>
    </xf>
    <xf numFmtId="0" fontId="41" fillId="0" borderId="0" xfId="26" applyFont="1" applyAlignment="1" applyProtection="1">
      <alignment horizontal="center" vertical="center"/>
      <protection locked="0"/>
    </xf>
    <xf numFmtId="0" fontId="42" fillId="20" borderId="10" xfId="26" applyFont="1" applyFill="1" applyBorder="1" applyAlignment="1" applyProtection="1">
      <alignment vertical="center" wrapText="1"/>
      <protection locked="0"/>
    </xf>
    <xf numFmtId="0" fontId="42" fillId="20" borderId="10" xfId="26" applyFont="1" applyFill="1" applyBorder="1" applyAlignment="1" applyProtection="1">
      <alignment horizontal="center" vertical="center" wrapText="1"/>
      <protection locked="0"/>
    </xf>
    <xf numFmtId="0" fontId="42" fillId="20" borderId="9" xfId="26" applyFont="1" applyFill="1" applyBorder="1" applyAlignment="1" applyProtection="1">
      <alignment horizontal="center" vertical="center" wrapText="1"/>
      <protection locked="0"/>
    </xf>
    <xf numFmtId="0" fontId="43" fillId="0" borderId="0" xfId="26" applyFont="1" applyAlignment="1" applyProtection="1">
      <alignment vertical="center"/>
      <protection locked="0"/>
    </xf>
    <xf numFmtId="0" fontId="44" fillId="0" borderId="0" xfId="26" applyFont="1" applyAlignment="1" applyProtection="1">
      <alignment horizontal="center" vertical="center"/>
      <protection locked="0"/>
    </xf>
    <xf numFmtId="0" fontId="45" fillId="0" borderId="9" xfId="26" applyFont="1" applyBorder="1" applyAlignment="1" applyProtection="1">
      <alignment horizontal="center" vertical="center"/>
      <protection locked="0"/>
    </xf>
    <xf numFmtId="0" fontId="45" fillId="0" borderId="9" xfId="26" applyFont="1" applyBorder="1" applyAlignment="1">
      <alignment horizontal="center" vertical="center" wrapText="1"/>
    </xf>
    <xf numFmtId="169" fontId="45" fillId="0" borderId="9" xfId="26" applyNumberFormat="1" applyFont="1" applyBorder="1" applyAlignment="1" applyProtection="1">
      <alignment horizontal="center" vertical="center" wrapText="1"/>
      <protection locked="0"/>
    </xf>
    <xf numFmtId="0" fontId="45" fillId="0" borderId="9" xfId="26" applyFont="1" applyBorder="1" applyAlignment="1">
      <alignment horizontal="left" vertical="center" wrapText="1"/>
    </xf>
    <xf numFmtId="170" fontId="45" fillId="0" borderId="9" xfId="26" applyNumberFormat="1" applyFont="1" applyBorder="1" applyAlignment="1" applyProtection="1">
      <alignment horizontal="left" vertical="center" wrapText="1"/>
      <protection locked="0"/>
    </xf>
    <xf numFmtId="0" fontId="45" fillId="0" borderId="9" xfId="26" applyFont="1" applyBorder="1" applyAlignment="1" applyProtection="1">
      <alignment horizontal="left" vertical="center" wrapText="1"/>
      <protection locked="0"/>
    </xf>
    <xf numFmtId="0" fontId="45" fillId="0" borderId="0" xfId="26" applyFont="1" applyAlignment="1" applyProtection="1">
      <alignment horizontal="center" vertical="center"/>
      <protection locked="0"/>
    </xf>
    <xf numFmtId="0" fontId="47" fillId="0" borderId="0" xfId="26" applyFont="1" applyAlignment="1" applyProtection="1">
      <alignment horizontal="center" vertical="center"/>
      <protection locked="0"/>
    </xf>
    <xf numFmtId="0" fontId="45" fillId="0" borderId="9" xfId="26" applyFont="1" applyBorder="1" applyAlignment="1">
      <alignment vertical="center" wrapText="1"/>
    </xf>
    <xf numFmtId="0" fontId="45" fillId="0" borderId="0" xfId="26" applyFont="1" applyAlignment="1" applyProtection="1">
      <alignment horizontal="left" vertical="center" wrapText="1"/>
      <protection locked="0"/>
    </xf>
    <xf numFmtId="169" fontId="45" fillId="0" borderId="9" xfId="26" applyNumberFormat="1" applyFont="1" applyBorder="1" applyAlignment="1" applyProtection="1">
      <alignment vertical="center" wrapText="1"/>
      <protection locked="0"/>
    </xf>
    <xf numFmtId="169" fontId="45" fillId="0" borderId="9" xfId="26" applyNumberFormat="1" applyFont="1" applyBorder="1" applyAlignment="1" applyProtection="1">
      <alignment horizontal="left" vertical="center" wrapText="1"/>
      <protection locked="0"/>
    </xf>
    <xf numFmtId="16" fontId="45" fillId="0" borderId="9" xfId="26" applyNumberFormat="1" applyFont="1" applyBorder="1" applyAlignment="1">
      <alignment horizontal="center" vertical="center" wrapText="1"/>
    </xf>
    <xf numFmtId="0" fontId="40" fillId="0" borderId="0" xfId="26" applyFont="1" applyAlignment="1" applyProtection="1">
      <alignment horizontal="left" vertical="top" wrapText="1"/>
      <protection locked="0"/>
    </xf>
    <xf numFmtId="0" fontId="40" fillId="0" borderId="0" xfId="26" applyFont="1" applyAlignment="1" applyProtection="1">
      <alignment horizontal="left" vertical="center"/>
      <protection locked="0"/>
    </xf>
    <xf numFmtId="0" fontId="40" fillId="0" borderId="0" xfId="26" applyFont="1" applyAlignment="1" applyProtection="1">
      <alignment horizontal="center" vertical="center"/>
      <protection locked="0"/>
    </xf>
    <xf numFmtId="0" fontId="40" fillId="0" borderId="0" xfId="26" applyFont="1" applyAlignment="1" applyProtection="1">
      <alignment horizontal="left" vertical="center" wrapText="1"/>
      <protection locked="0"/>
    </xf>
    <xf numFmtId="0" fontId="40" fillId="0" borderId="0" xfId="26" applyFont="1" applyAlignment="1" applyProtection="1">
      <alignment vertical="center" wrapText="1"/>
      <protection locked="0"/>
    </xf>
    <xf numFmtId="0" fontId="33" fillId="0" borderId="13" xfId="25" applyFont="1" applyBorder="1" applyAlignment="1">
      <alignment horizontal="center" vertical="center"/>
    </xf>
    <xf numFmtId="0" fontId="4" fillId="5" borderId="9" xfId="25" applyFill="1" applyBorder="1" applyAlignment="1">
      <alignment horizontal="left" vertical="center" wrapText="1"/>
    </xf>
    <xf numFmtId="171" fontId="0" fillId="0" borderId="9" xfId="25" applyNumberFormat="1" applyFont="1" applyBorder="1" applyAlignment="1">
      <alignment horizontal="center" vertical="center"/>
    </xf>
    <xf numFmtId="0" fontId="0" fillId="2" borderId="9" xfId="25" applyFont="1" applyFill="1" applyBorder="1" applyAlignment="1">
      <alignment horizontal="center" vertical="center"/>
    </xf>
    <xf numFmtId="0" fontId="4" fillId="2" borderId="14" xfId="25" applyFill="1" applyBorder="1" applyAlignment="1">
      <alignment horizontal="center" vertical="center"/>
    </xf>
    <xf numFmtId="0" fontId="2" fillId="0" borderId="9" xfId="25" applyFont="1" applyBorder="1" applyAlignment="1">
      <alignment horizontal="center" vertical="center"/>
    </xf>
    <xf numFmtId="0" fontId="2" fillId="0" borderId="14" xfId="25" applyFont="1" applyBorder="1" applyAlignment="1">
      <alignment horizontal="center" vertical="center"/>
    </xf>
    <xf numFmtId="0" fontId="2" fillId="0" borderId="9" xfId="25" applyFont="1" applyBorder="1" applyAlignment="1">
      <alignment horizontal="left" vertical="center" wrapText="1"/>
    </xf>
    <xf numFmtId="0" fontId="2" fillId="0" borderId="0" xfId="25" applyFont="1" applyAlignment="1">
      <alignment horizontal="center" vertical="center"/>
    </xf>
    <xf numFmtId="0" fontId="2" fillId="17" borderId="9" xfId="25" applyFont="1" applyFill="1" applyBorder="1" applyAlignment="1">
      <alignment horizontal="center" vertical="center"/>
    </xf>
    <xf numFmtId="15" fontId="2" fillId="0" borderId="9" xfId="25" applyNumberFormat="1" applyFont="1" applyBorder="1" applyAlignment="1">
      <alignment horizontal="center" vertical="center"/>
    </xf>
    <xf numFmtId="0" fontId="2" fillId="5" borderId="9" xfId="25" applyFont="1" applyFill="1" applyBorder="1" applyAlignment="1">
      <alignment horizontal="left" vertical="center" wrapText="1"/>
    </xf>
    <xf numFmtId="0" fontId="2" fillId="0" borderId="14" xfId="25" applyFont="1" applyBorder="1" applyAlignment="1">
      <alignment horizontal="left" vertical="center" wrapText="1"/>
    </xf>
    <xf numFmtId="0" fontId="37" fillId="19" borderId="20" xfId="26" applyFont="1" applyFill="1" applyBorder="1" applyAlignment="1" applyProtection="1">
      <alignment horizontal="center" vertical="center"/>
      <protection locked="0"/>
    </xf>
    <xf numFmtId="0" fontId="37" fillId="19" borderId="68" xfId="26" applyFont="1" applyFill="1" applyBorder="1" applyAlignment="1" applyProtection="1">
      <alignment horizontal="center" vertical="center"/>
      <protection locked="0"/>
    </xf>
    <xf numFmtId="0" fontId="37" fillId="19" borderId="19" xfId="26" applyFont="1" applyFill="1" applyBorder="1" applyAlignment="1" applyProtection="1">
      <alignment horizontal="center" vertical="center"/>
      <protection locked="0"/>
    </xf>
    <xf numFmtId="0" fontId="37" fillId="19" borderId="6" xfId="26" applyFont="1" applyFill="1" applyBorder="1" applyAlignment="1" applyProtection="1">
      <alignment horizontal="center" vertical="center"/>
      <protection locked="0"/>
    </xf>
    <xf numFmtId="0" fontId="37" fillId="19" borderId="0" xfId="26" applyFont="1" applyFill="1" applyAlignment="1" applyProtection="1">
      <alignment horizontal="center" vertical="center"/>
      <protection locked="0"/>
    </xf>
    <xf numFmtId="0" fontId="37" fillId="19" borderId="18" xfId="26" applyFont="1" applyFill="1" applyBorder="1" applyAlignment="1" applyProtection="1">
      <alignment horizontal="center" vertical="center"/>
      <protection locked="0"/>
    </xf>
    <xf numFmtId="0" fontId="37" fillId="19" borderId="15" xfId="26" applyFont="1" applyFill="1" applyBorder="1" applyAlignment="1" applyProtection="1">
      <alignment horizontal="center" vertical="center"/>
      <protection locked="0"/>
    </xf>
    <xf numFmtId="0" fontId="37" fillId="19" borderId="69" xfId="26" applyFont="1" applyFill="1" applyBorder="1" applyAlignment="1" applyProtection="1">
      <alignment horizontal="center" vertical="center"/>
      <protection locked="0"/>
    </xf>
    <xf numFmtId="0" fontId="37" fillId="19" borderId="16" xfId="26" applyFont="1" applyFill="1" applyBorder="1" applyAlignment="1" applyProtection="1">
      <alignment horizontal="center" vertical="center"/>
      <protection locked="0"/>
    </xf>
    <xf numFmtId="0" fontId="38" fillId="19" borderId="7" xfId="26" applyFont="1" applyFill="1" applyBorder="1" applyAlignment="1" applyProtection="1">
      <alignment horizontal="center" vertical="center" wrapText="1"/>
      <protection locked="0"/>
    </xf>
    <xf numFmtId="0" fontId="38" fillId="19" borderId="8" xfId="26" applyFont="1" applyFill="1" applyBorder="1" applyAlignment="1" applyProtection="1">
      <alignment horizontal="center" vertical="center" wrapText="1"/>
      <protection locked="0"/>
    </xf>
    <xf numFmtId="0" fontId="13" fillId="16" borderId="22" xfId="18" applyFont="1" applyFill="1" applyBorder="1" applyAlignment="1">
      <alignment horizontal="center" vertical="center"/>
    </xf>
    <xf numFmtId="0" fontId="13" fillId="16" borderId="75" xfId="4" applyFont="1" applyFill="1" applyBorder="1" applyAlignment="1">
      <alignment horizontal="left" vertical="center" wrapText="1"/>
    </xf>
    <xf numFmtId="0" fontId="13" fillId="16" borderId="74" xfId="4" applyFont="1" applyFill="1" applyBorder="1" applyAlignment="1">
      <alignment horizontal="left" vertical="center" wrapText="1"/>
    </xf>
    <xf numFmtId="0" fontId="13" fillId="7" borderId="32" xfId="4" applyFont="1" applyFill="1" applyBorder="1" applyAlignment="1">
      <alignment horizontal="center" vertical="center"/>
    </xf>
    <xf numFmtId="0" fontId="13" fillId="7" borderId="34" xfId="4" applyFont="1" applyFill="1" applyBorder="1" applyAlignment="1">
      <alignment horizontal="center" vertical="center"/>
    </xf>
    <xf numFmtId="0" fontId="13" fillId="7" borderId="32" xfId="4" applyFont="1" applyFill="1" applyBorder="1" applyAlignment="1">
      <alignment horizontal="center" vertical="center" wrapText="1"/>
    </xf>
    <xf numFmtId="0" fontId="13" fillId="7" borderId="34" xfId="4" applyFont="1" applyFill="1" applyBorder="1" applyAlignment="1">
      <alignment horizontal="center" vertical="center" wrapText="1"/>
    </xf>
    <xf numFmtId="166" fontId="6" fillId="0" borderId="43" xfId="20" applyNumberFormat="1" applyBorder="1" applyAlignment="1">
      <alignment horizontal="center" vertical="center"/>
    </xf>
    <xf numFmtId="166" fontId="6" fillId="0" borderId="44" xfId="20" applyNumberFormat="1" applyBorder="1" applyAlignment="1">
      <alignment horizontal="center" vertical="center"/>
    </xf>
    <xf numFmtId="166" fontId="12" fillId="0" borderId="43" xfId="4" applyNumberFormat="1" applyBorder="1" applyAlignment="1">
      <alignment horizontal="center" vertical="center"/>
    </xf>
    <xf numFmtId="166" fontId="12" fillId="0" borderId="44" xfId="4" applyNumberFormat="1" applyBorder="1" applyAlignment="1">
      <alignment horizontal="center" vertical="center"/>
    </xf>
    <xf numFmtId="167" fontId="12" fillId="9" borderId="49" xfId="4" applyNumberFormat="1" applyFill="1" applyBorder="1" applyAlignment="1">
      <alignment horizontal="left" vertical="center" wrapText="1" indent="1"/>
    </xf>
    <xf numFmtId="167" fontId="12" fillId="9" borderId="0" xfId="4" applyNumberFormat="1" applyFill="1" applyAlignment="1">
      <alignment horizontal="left" vertical="center" wrapText="1" indent="1"/>
    </xf>
    <xf numFmtId="167" fontId="12" fillId="9" borderId="50" xfId="4" applyNumberFormat="1" applyFill="1" applyBorder="1" applyAlignment="1">
      <alignment horizontal="left" vertical="center" wrapText="1" indent="1"/>
    </xf>
    <xf numFmtId="166" fontId="12" fillId="12" borderId="1" xfId="4" applyNumberFormat="1" applyFill="1" applyBorder="1" applyAlignment="1">
      <alignment horizontal="center" vertical="center"/>
    </xf>
    <xf numFmtId="166" fontId="12" fillId="12" borderId="2" xfId="4" applyNumberFormat="1" applyFill="1" applyBorder="1" applyAlignment="1">
      <alignment horizontal="center" vertical="center"/>
    </xf>
    <xf numFmtId="166" fontId="12" fillId="4" borderId="4" xfId="4" applyNumberFormat="1" applyFill="1" applyBorder="1" applyAlignment="1">
      <alignment horizontal="center" vertical="center"/>
    </xf>
    <xf numFmtId="166" fontId="12" fillId="4" borderId="5" xfId="4" applyNumberFormat="1" applyFill="1" applyBorder="1" applyAlignment="1">
      <alignment horizontal="center" vertical="center"/>
    </xf>
    <xf numFmtId="166" fontId="2" fillId="8" borderId="2" xfId="4" applyNumberFormat="1" applyFont="1" applyFill="1" applyBorder="1" applyAlignment="1">
      <alignment horizontal="center" vertical="center"/>
    </xf>
    <xf numFmtId="166" fontId="12" fillId="8" borderId="2" xfId="4" applyNumberFormat="1" applyFill="1" applyBorder="1" applyAlignment="1">
      <alignment horizontal="center" vertical="center"/>
    </xf>
    <xf numFmtId="166" fontId="12" fillId="8" borderId="11" xfId="4" applyNumberFormat="1" applyFill="1" applyBorder="1" applyAlignment="1">
      <alignment horizontal="center" vertical="center"/>
    </xf>
    <xf numFmtId="166" fontId="2" fillId="5" borderId="5" xfId="4" applyNumberFormat="1" applyFont="1" applyFill="1" applyBorder="1" applyAlignment="1">
      <alignment horizontal="center" vertical="center"/>
    </xf>
    <xf numFmtId="166" fontId="12" fillId="5" borderId="5" xfId="4" applyNumberFormat="1" applyFill="1" applyBorder="1" applyAlignment="1">
      <alignment horizontal="center" vertical="center"/>
    </xf>
    <xf numFmtId="166" fontId="12" fillId="5" borderId="12" xfId="4" applyNumberFormat="1" applyFill="1" applyBorder="1" applyAlignment="1">
      <alignment horizontal="center" vertical="center"/>
    </xf>
    <xf numFmtId="167" fontId="12" fillId="9" borderId="47" xfId="4" applyNumberFormat="1" applyFill="1" applyBorder="1" applyAlignment="1">
      <alignment horizontal="left" vertical="center" wrapText="1" indent="1"/>
    </xf>
    <xf numFmtId="167" fontId="12" fillId="9" borderId="48" xfId="4" applyNumberFormat="1" applyFill="1" applyBorder="1" applyAlignment="1">
      <alignment horizontal="left" vertical="center" wrapText="1" indent="1"/>
    </xf>
    <xf numFmtId="167" fontId="12" fillId="9" borderId="46" xfId="4" applyNumberFormat="1" applyFill="1" applyBorder="1" applyAlignment="1">
      <alignment horizontal="left" vertical="center" wrapText="1" indent="1"/>
    </xf>
    <xf numFmtId="0" fontId="25" fillId="10" borderId="1" xfId="4" applyFont="1" applyFill="1" applyBorder="1" applyAlignment="1">
      <alignment horizontal="center" vertical="center"/>
    </xf>
    <xf numFmtId="0" fontId="25" fillId="10" borderId="11" xfId="4" applyFont="1" applyFill="1" applyBorder="1" applyAlignment="1">
      <alignment horizontal="center" vertical="center"/>
    </xf>
    <xf numFmtId="0" fontId="13" fillId="16" borderId="21" xfId="18" applyFont="1" applyFill="1" applyBorder="1" applyAlignment="1">
      <alignment horizontal="center" vertical="center"/>
    </xf>
    <xf numFmtId="0" fontId="13" fillId="16" borderId="1" xfId="4" applyFont="1" applyFill="1" applyBorder="1" applyAlignment="1">
      <alignment horizontal="left" vertical="center" wrapText="1"/>
    </xf>
    <xf numFmtId="0" fontId="13" fillId="7" borderId="40" xfId="4" applyFont="1" applyFill="1" applyBorder="1" applyAlignment="1">
      <alignment horizontal="center" vertical="center" wrapText="1"/>
    </xf>
    <xf numFmtId="0" fontId="18" fillId="6" borderId="40" xfId="4" applyFont="1" applyFill="1" applyBorder="1" applyAlignment="1">
      <alignment horizontal="center" vertical="center" textRotation="90"/>
    </xf>
    <xf numFmtId="0" fontId="18" fillId="6" borderId="33" xfId="4" applyFont="1" applyFill="1" applyBorder="1" applyAlignment="1">
      <alignment horizontal="center" vertical="center" textRotation="90"/>
    </xf>
    <xf numFmtId="0" fontId="18" fillId="6" borderId="35" xfId="4" applyFont="1" applyFill="1" applyBorder="1" applyAlignment="1">
      <alignment horizontal="center" vertical="center" textRotation="90"/>
    </xf>
    <xf numFmtId="0" fontId="13" fillId="16" borderId="22" xfId="18" quotePrefix="1" applyFont="1" applyFill="1" applyBorder="1" applyAlignment="1">
      <alignment horizontal="center" vertical="center"/>
    </xf>
    <xf numFmtId="0" fontId="18" fillId="13" borderId="40" xfId="4" applyFont="1" applyFill="1" applyBorder="1" applyAlignment="1">
      <alignment horizontal="center" vertical="center" textRotation="90" wrapText="1"/>
    </xf>
    <xf numFmtId="0" fontId="18" fillId="13" borderId="33" xfId="4" applyFont="1" applyFill="1" applyBorder="1" applyAlignment="1">
      <alignment horizontal="center" vertical="center" textRotation="90" wrapText="1"/>
    </xf>
    <xf numFmtId="0" fontId="18" fillId="13" borderId="35" xfId="4" applyFont="1" applyFill="1" applyBorder="1" applyAlignment="1">
      <alignment horizontal="center" vertical="center" textRotation="90" wrapText="1"/>
    </xf>
    <xf numFmtId="0" fontId="13" fillId="7" borderId="33" xfId="4" applyFont="1" applyFill="1" applyBorder="1" applyAlignment="1">
      <alignment horizontal="center" vertical="center"/>
    </xf>
    <xf numFmtId="0" fontId="48" fillId="8" borderId="22" xfId="18" quotePrefix="1" applyFont="1" applyFill="1" applyBorder="1" applyAlignment="1">
      <alignment horizontal="center" vertical="center"/>
    </xf>
    <xf numFmtId="0" fontId="48" fillId="8" borderId="22" xfId="18" applyFont="1" applyFill="1" applyBorder="1" applyAlignment="1">
      <alignment horizontal="center" vertical="center"/>
    </xf>
    <xf numFmtId="0" fontId="48" fillId="8" borderId="75" xfId="4" applyFont="1" applyFill="1" applyBorder="1" applyAlignment="1">
      <alignment horizontal="left" vertical="center" wrapText="1"/>
    </xf>
    <xf numFmtId="0" fontId="48" fillId="8" borderId="74" xfId="4" applyFont="1" applyFill="1" applyBorder="1" applyAlignment="1">
      <alignment horizontal="left" vertical="center" wrapText="1"/>
    </xf>
    <xf numFmtId="0" fontId="48" fillId="7" borderId="32" xfId="4" applyFont="1" applyFill="1" applyBorder="1" applyAlignment="1">
      <alignment horizontal="center" vertical="center" wrapText="1"/>
    </xf>
    <xf numFmtId="0" fontId="48" fillId="7" borderId="34" xfId="4" applyFont="1" applyFill="1" applyBorder="1" applyAlignment="1">
      <alignment horizontal="center" vertical="center" wrapText="1"/>
    </xf>
    <xf numFmtId="0" fontId="13" fillId="7" borderId="40" xfId="4" applyFont="1" applyFill="1" applyBorder="1" applyAlignment="1">
      <alignment horizontal="center" vertical="center"/>
    </xf>
    <xf numFmtId="0" fontId="13" fillId="16" borderId="21" xfId="18" quotePrefix="1" applyFont="1" applyFill="1" applyBorder="1" applyAlignment="1">
      <alignment horizontal="center" vertical="center"/>
    </xf>
    <xf numFmtId="0" fontId="48" fillId="8" borderId="23" xfId="18" applyFont="1" applyFill="1" applyBorder="1" applyAlignment="1">
      <alignment horizontal="center" vertical="center"/>
    </xf>
    <xf numFmtId="0" fontId="48" fillId="8" borderId="4" xfId="4" applyFont="1" applyFill="1" applyBorder="1" applyAlignment="1">
      <alignment horizontal="left" vertical="center" wrapText="1"/>
    </xf>
    <xf numFmtId="0" fontId="48" fillId="7" borderId="35" xfId="4" applyFont="1" applyFill="1" applyBorder="1" applyAlignment="1">
      <alignment horizontal="center" vertical="center" wrapText="1"/>
    </xf>
    <xf numFmtId="0" fontId="34" fillId="0" borderId="1" xfId="4" applyFont="1" applyBorder="1" applyAlignment="1">
      <alignment horizontal="center" vertical="center" wrapText="1"/>
    </xf>
    <xf numFmtId="0" fontId="34" fillId="0" borderId="2" xfId="4" applyFont="1" applyBorder="1" applyAlignment="1">
      <alignment horizontal="center" vertical="center" wrapText="1"/>
    </xf>
    <xf numFmtId="0" fontId="34" fillId="0" borderId="11" xfId="4" applyFont="1" applyBorder="1" applyAlignment="1">
      <alignment horizontal="center" vertical="center" wrapText="1"/>
    </xf>
    <xf numFmtId="0" fontId="48" fillId="7" borderId="21" xfId="4" applyFont="1" applyFill="1" applyBorder="1" applyAlignment="1">
      <alignment horizontal="center" vertical="center"/>
    </xf>
    <xf numFmtId="0" fontId="48" fillId="7" borderId="22" xfId="4" applyFont="1" applyFill="1" applyBorder="1" applyAlignment="1">
      <alignment horizontal="center" vertical="center"/>
    </xf>
    <xf numFmtId="0" fontId="48" fillId="7" borderId="34" xfId="4" applyFont="1" applyFill="1" applyBorder="1" applyAlignment="1">
      <alignment horizontal="center" vertical="center"/>
    </xf>
    <xf numFmtId="0" fontId="48" fillId="7" borderId="33" xfId="4" applyFont="1" applyFill="1" applyBorder="1" applyAlignment="1">
      <alignment horizontal="center" vertical="center" wrapText="1"/>
    </xf>
    <xf numFmtId="0" fontId="13" fillId="7" borderId="35" xfId="4" applyFont="1" applyFill="1" applyBorder="1" applyAlignment="1">
      <alignment horizontal="center" vertical="center" wrapText="1"/>
    </xf>
    <xf numFmtId="0" fontId="13" fillId="16" borderId="23" xfId="18" applyFont="1" applyFill="1" applyBorder="1" applyAlignment="1">
      <alignment horizontal="center" vertical="center"/>
    </xf>
    <xf numFmtId="0" fontId="13" fillId="16" borderId="4" xfId="4" applyFont="1" applyFill="1" applyBorder="1" applyAlignment="1">
      <alignment horizontal="left" vertical="center" wrapText="1"/>
    </xf>
    <xf numFmtId="0" fontId="18" fillId="15" borderId="1" xfId="4" applyFont="1" applyFill="1" applyBorder="1" applyAlignment="1">
      <alignment horizontal="center" vertical="center" textRotation="90" wrapText="1"/>
    </xf>
    <xf numFmtId="0" fontId="18" fillId="15" borderId="3" xfId="4" applyFont="1" applyFill="1" applyBorder="1" applyAlignment="1">
      <alignment horizontal="center" vertical="center" textRotation="90" wrapText="1"/>
    </xf>
    <xf numFmtId="0" fontId="18" fillId="15" borderId="4" xfId="4" applyFont="1" applyFill="1" applyBorder="1" applyAlignment="1">
      <alignment horizontal="center" vertical="center" textRotation="90" wrapText="1"/>
    </xf>
    <xf numFmtId="0" fontId="48" fillId="8" borderId="34" xfId="18" quotePrefix="1" applyFont="1" applyFill="1" applyBorder="1" applyAlignment="1">
      <alignment horizontal="center" vertical="center"/>
    </xf>
    <xf numFmtId="0" fontId="48" fillId="8" borderId="3" xfId="4" applyFont="1" applyFill="1" applyBorder="1" applyAlignment="1">
      <alignment horizontal="left" vertical="center" wrapText="1"/>
    </xf>
    <xf numFmtId="0" fontId="18" fillId="14" borderId="40" xfId="4" applyFont="1" applyFill="1" applyBorder="1" applyAlignment="1">
      <alignment horizontal="center" vertical="center" textRotation="90" wrapText="1"/>
    </xf>
    <xf numFmtId="0" fontId="18" fillId="14" borderId="33" xfId="4" applyFont="1" applyFill="1" applyBorder="1" applyAlignment="1">
      <alignment horizontal="center" vertical="center" textRotation="90" wrapText="1"/>
    </xf>
    <xf numFmtId="0" fontId="18" fillId="14" borderId="35" xfId="4" applyFont="1" applyFill="1" applyBorder="1" applyAlignment="1">
      <alignment horizontal="center" vertical="center" textRotation="90" wrapText="1"/>
    </xf>
    <xf numFmtId="0" fontId="18" fillId="8" borderId="33" xfId="4" applyFont="1" applyFill="1" applyBorder="1" applyAlignment="1">
      <alignment horizontal="center" vertical="center" textRotation="90" wrapText="1"/>
    </xf>
    <xf numFmtId="0" fontId="13" fillId="7" borderId="22" xfId="4" applyFont="1" applyFill="1" applyBorder="1" applyAlignment="1">
      <alignment horizontal="center" vertical="center"/>
    </xf>
    <xf numFmtId="0" fontId="13" fillId="7" borderId="22" xfId="4" applyFont="1" applyFill="1" applyBorder="1" applyAlignment="1">
      <alignment horizontal="center" vertical="center" wrapText="1"/>
    </xf>
    <xf numFmtId="0" fontId="13" fillId="7" borderId="23" xfId="4" applyFont="1" applyFill="1" applyBorder="1" applyAlignment="1">
      <alignment horizontal="center" vertical="center" wrapText="1"/>
    </xf>
    <xf numFmtId="0" fontId="48" fillId="8" borderId="32" xfId="18" applyFont="1" applyFill="1" applyBorder="1" applyAlignment="1">
      <alignment horizontal="center" vertical="center"/>
    </xf>
    <xf numFmtId="0" fontId="48" fillId="0" borderId="21" xfId="4" applyFont="1" applyBorder="1" applyAlignment="1">
      <alignment horizontal="center" vertical="center" wrapText="1"/>
    </xf>
    <xf numFmtId="0" fontId="48" fillId="0" borderId="22" xfId="4" applyFont="1" applyBorder="1" applyAlignment="1">
      <alignment horizontal="center" vertical="center" wrapText="1"/>
    </xf>
    <xf numFmtId="0" fontId="48" fillId="0" borderId="39" xfId="4" applyFont="1" applyBorder="1" applyAlignment="1">
      <alignment horizontal="left" vertical="center" wrapText="1"/>
    </xf>
    <xf numFmtId="0" fontId="48" fillId="0" borderId="42" xfId="4" applyFont="1" applyBorder="1" applyAlignment="1">
      <alignment horizontal="left" vertical="center" wrapText="1"/>
    </xf>
    <xf numFmtId="0" fontId="13" fillId="0" borderId="22" xfId="4" applyFont="1" applyBorder="1" applyAlignment="1">
      <alignment horizontal="center" vertical="center" wrapText="1"/>
    </xf>
    <xf numFmtId="0" fontId="13" fillId="0" borderId="42" xfId="4" applyFont="1" applyBorder="1" applyAlignment="1">
      <alignment horizontal="left" vertical="center" wrapText="1"/>
    </xf>
    <xf numFmtId="0" fontId="13" fillId="0" borderId="23" xfId="4" applyFont="1" applyBorder="1" applyAlignment="1">
      <alignment horizontal="center" vertical="center" wrapText="1"/>
    </xf>
    <xf numFmtId="0" fontId="13" fillId="0" borderId="70" xfId="4" applyFont="1" applyBorder="1" applyAlignment="1">
      <alignment horizontal="left" vertical="center" wrapText="1"/>
    </xf>
    <xf numFmtId="0" fontId="46" fillId="16" borderId="24" xfId="25" applyFont="1" applyFill="1" applyBorder="1" applyAlignment="1">
      <alignment horizontal="center" vertical="center"/>
    </xf>
    <xf numFmtId="0" fontId="46" fillId="16" borderId="25" xfId="25" applyFont="1" applyFill="1" applyBorder="1" applyAlignment="1">
      <alignment horizontal="center" vertical="center"/>
    </xf>
    <xf numFmtId="0" fontId="46" fillId="16" borderId="26" xfId="25" applyFont="1" applyFill="1" applyBorder="1" applyAlignment="1">
      <alignment horizontal="center" vertical="center"/>
    </xf>
    <xf numFmtId="0" fontId="1" fillId="2" borderId="9" xfId="25" applyFont="1" applyFill="1" applyBorder="1" applyAlignment="1">
      <alignment horizontal="center" vertical="center"/>
    </xf>
    <xf numFmtId="0" fontId="1" fillId="0" borderId="9" xfId="25" applyFont="1" applyBorder="1" applyAlignment="1">
      <alignment horizontal="center" vertical="center"/>
    </xf>
    <xf numFmtId="0" fontId="1" fillId="0" borderId="9" xfId="25" applyFont="1" applyBorder="1" applyAlignment="1">
      <alignment horizontal="left" vertical="center" wrapText="1"/>
    </xf>
  </cellXfs>
  <cellStyles count="27">
    <cellStyle name="Bad" xfId="24" builtinId="27"/>
    <cellStyle name="Comma [0] 2" xfId="15" xr:uid="{00000000-0005-0000-0000-000001000000}"/>
    <cellStyle name="Comma 2" xfId="13" xr:uid="{00000000-0005-0000-0000-000002000000}"/>
    <cellStyle name="Hyperlink 2" xfId="5" xr:uid="{00000000-0005-0000-0000-000003000000}"/>
    <cellStyle name="Normal" xfId="0" builtinId="0"/>
    <cellStyle name="Normal 2" xfId="1" xr:uid="{00000000-0005-0000-0000-000005000000}"/>
    <cellStyle name="Normal 2 2" xfId="3" xr:uid="{00000000-0005-0000-0000-000006000000}"/>
    <cellStyle name="Normal 2 2 2" xfId="7" xr:uid="{00000000-0005-0000-0000-000007000000}"/>
    <cellStyle name="Normal 2 3" xfId="12" xr:uid="{00000000-0005-0000-0000-000008000000}"/>
    <cellStyle name="Normal 2 4" xfId="16" xr:uid="{00000000-0005-0000-0000-000009000000}"/>
    <cellStyle name="Normal 2 4 2" xfId="26" xr:uid="{7B4D032F-65BC-4FE6-A7D5-E994528DC1E6}"/>
    <cellStyle name="Normal 3" xfId="2" xr:uid="{00000000-0005-0000-0000-00000A000000}"/>
    <cellStyle name="Normal 3 2" xfId="10" xr:uid="{00000000-0005-0000-0000-00000B000000}"/>
    <cellStyle name="Normal 3 3" xfId="17" xr:uid="{00000000-0005-0000-0000-00000C000000}"/>
    <cellStyle name="Normal 3 3 2" xfId="25" xr:uid="{C6D8CC10-703B-442E-BE24-38F0903972B4}"/>
    <cellStyle name="Normal 4" xfId="4" xr:uid="{00000000-0005-0000-0000-00000D000000}"/>
    <cellStyle name="Normal 4 2" xfId="8" xr:uid="{00000000-0005-0000-0000-00000E000000}"/>
    <cellStyle name="Normal 4 3" xfId="20" xr:uid="{00000000-0005-0000-0000-00000F000000}"/>
    <cellStyle name="Normal 5" xfId="11" xr:uid="{00000000-0005-0000-0000-000010000000}"/>
    <cellStyle name="Normal 6" xfId="9" xr:uid="{00000000-0005-0000-0000-000011000000}"/>
    <cellStyle name="Normal 7" xfId="14" xr:uid="{00000000-0005-0000-0000-000012000000}"/>
    <cellStyle name="Normal 8" xfId="23" xr:uid="{00000000-0005-0000-0000-000013000000}"/>
    <cellStyle name="Percent 2" xfId="6" xr:uid="{00000000-0005-0000-0000-000014000000}"/>
    <cellStyle name="Percent 2 2" xfId="22" xr:uid="{00000000-0005-0000-0000-000015000000}"/>
    <cellStyle name="Percent 3" xfId="19" xr:uid="{00000000-0005-0000-0000-000016000000}"/>
    <cellStyle name="Task" xfId="18" xr:uid="{00000000-0005-0000-0000-000017000000}"/>
    <cellStyle name="Task 2" xfId="21" xr:uid="{00000000-0005-0000-0000-000018000000}"/>
  </cellStyles>
  <dxfs count="81"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E0F90A"/>
      <color rgb="FFE3F6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972325</xdr:colOff>
      <xdr:row>1</xdr:row>
      <xdr:rowOff>285514</xdr:rowOff>
    </xdr:to>
    <xdr:pic>
      <xdr:nvPicPr>
        <xdr:cNvPr id="2" name="Picture 15" descr="ridge4.png">
          <a:extLst>
            <a:ext uri="{FF2B5EF4-FFF2-40B4-BE49-F238E27FC236}">
              <a16:creationId xmlns:a16="http://schemas.microsoft.com/office/drawing/2014/main" id="{6613F072-5C3A-4447-ABA4-33BC6D580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ltGray">
        <a:xfrm>
          <a:off x="15735300" y="0"/>
          <a:ext cx="972325" cy="5979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439615</xdr:colOff>
      <xdr:row>1</xdr:row>
      <xdr:rowOff>131885</xdr:rowOff>
    </xdr:from>
    <xdr:to>
      <xdr:col>12</xdr:col>
      <xdr:colOff>2784225</xdr:colOff>
      <xdr:row>3</xdr:row>
      <xdr:rowOff>172036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90C13-0E8D-4CE8-882A-D5FCB5416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174915" y="444305"/>
          <a:ext cx="2344610" cy="664991"/>
        </a:xfrm>
        <a:prstGeom prst="rect">
          <a:avLst/>
        </a:prstGeom>
      </xdr:spPr>
    </xdr:pic>
    <xdr:clientData/>
  </xdr:twoCellAnchor>
  <xdr:twoCellAnchor editAs="oneCell">
    <xdr:from>
      <xdr:col>1</xdr:col>
      <xdr:colOff>206024</xdr:colOff>
      <xdr:row>0</xdr:row>
      <xdr:rowOff>0</xdr:rowOff>
    </xdr:from>
    <xdr:to>
      <xdr:col>3</xdr:col>
      <xdr:colOff>435350</xdr:colOff>
      <xdr:row>3</xdr:row>
      <xdr:rowOff>249756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941990-CEA9-43F6-94B7-7CCA205D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05084" y="0"/>
          <a:ext cx="1517106" cy="11870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11</xdr:col>
      <xdr:colOff>304800</xdr:colOff>
      <xdr:row>56</xdr:row>
      <xdr:rowOff>54608</xdr:rowOff>
    </xdr:to>
    <xdr:sp macro="" textlink="">
      <xdr:nvSpPr>
        <xdr:cNvPr id="5" name="AutoShape 2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8A6C6023-06A0-4D7C-A6C2-57C1E195B271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4643080"/>
          <a:ext cx="304800" cy="3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</xdr:row>
      <xdr:rowOff>0</xdr:rowOff>
    </xdr:from>
    <xdr:to>
      <xdr:col>11</xdr:col>
      <xdr:colOff>304800</xdr:colOff>
      <xdr:row>56</xdr:row>
      <xdr:rowOff>54608</xdr:rowOff>
    </xdr:to>
    <xdr:sp macro="" textlink="">
      <xdr:nvSpPr>
        <xdr:cNvPr id="6" name="AutoShape 3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66C9614C-A9C8-42A2-B503-27B8C019C687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4643080"/>
          <a:ext cx="304800" cy="3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3332311</xdr:colOff>
      <xdr:row>0</xdr:row>
      <xdr:rowOff>129886</xdr:rowOff>
    </xdr:from>
    <xdr:to>
      <xdr:col>12</xdr:col>
      <xdr:colOff>4858375</xdr:colOff>
      <xdr:row>3</xdr:row>
      <xdr:rowOff>210848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A6447A-EEE3-40BA-93D2-7527032A4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19067611" y="129886"/>
          <a:ext cx="1526064" cy="101822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972325</xdr:colOff>
      <xdr:row>1</xdr:row>
      <xdr:rowOff>285514</xdr:rowOff>
    </xdr:to>
    <xdr:pic>
      <xdr:nvPicPr>
        <xdr:cNvPr id="8" name="Picture 15" descr="ridge4.png">
          <a:extLst>
            <a:ext uri="{FF2B5EF4-FFF2-40B4-BE49-F238E27FC236}">
              <a16:creationId xmlns:a16="http://schemas.microsoft.com/office/drawing/2014/main" id="{C30140BC-BC6A-4F01-BCEA-C8FE91126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ltGray">
        <a:xfrm>
          <a:off x="15735300" y="0"/>
          <a:ext cx="972325" cy="5979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439615</xdr:colOff>
      <xdr:row>1</xdr:row>
      <xdr:rowOff>131885</xdr:rowOff>
    </xdr:from>
    <xdr:to>
      <xdr:col>12</xdr:col>
      <xdr:colOff>2784225</xdr:colOff>
      <xdr:row>3</xdr:row>
      <xdr:rowOff>172036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AF663F-B205-4879-8028-BE69B2DE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174915" y="444305"/>
          <a:ext cx="2344610" cy="664991"/>
        </a:xfrm>
        <a:prstGeom prst="rect">
          <a:avLst/>
        </a:prstGeom>
      </xdr:spPr>
    </xdr:pic>
    <xdr:clientData/>
  </xdr:twoCellAnchor>
  <xdr:twoCellAnchor editAs="oneCell">
    <xdr:from>
      <xdr:col>1</xdr:col>
      <xdr:colOff>206024</xdr:colOff>
      <xdr:row>0</xdr:row>
      <xdr:rowOff>0</xdr:rowOff>
    </xdr:from>
    <xdr:to>
      <xdr:col>3</xdr:col>
      <xdr:colOff>435350</xdr:colOff>
      <xdr:row>3</xdr:row>
      <xdr:rowOff>249756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94FBE1-4F36-47DE-9D50-C298CC03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05084" y="0"/>
          <a:ext cx="1517106" cy="11870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11</xdr:col>
      <xdr:colOff>304800</xdr:colOff>
      <xdr:row>56</xdr:row>
      <xdr:rowOff>54608</xdr:rowOff>
    </xdr:to>
    <xdr:sp macro="" textlink="">
      <xdr:nvSpPr>
        <xdr:cNvPr id="11" name="AutoShape 2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369AECCD-E2B3-4186-9389-1FD0196CFB6B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4643080"/>
          <a:ext cx="304800" cy="3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</xdr:row>
      <xdr:rowOff>0</xdr:rowOff>
    </xdr:from>
    <xdr:to>
      <xdr:col>11</xdr:col>
      <xdr:colOff>304800</xdr:colOff>
      <xdr:row>56</xdr:row>
      <xdr:rowOff>54608</xdr:rowOff>
    </xdr:to>
    <xdr:sp macro="" textlink="">
      <xdr:nvSpPr>
        <xdr:cNvPr id="12" name="AutoShape 3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E2CEA44D-5A07-4B55-8AF6-4F547FBCA568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4643080"/>
          <a:ext cx="304800" cy="31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3332311</xdr:colOff>
      <xdr:row>0</xdr:row>
      <xdr:rowOff>129886</xdr:rowOff>
    </xdr:from>
    <xdr:to>
      <xdr:col>12</xdr:col>
      <xdr:colOff>4858375</xdr:colOff>
      <xdr:row>3</xdr:row>
      <xdr:rowOff>210848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7B439B-B962-4A48-8AB3-3BCAF9086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19067611" y="129886"/>
          <a:ext cx="1526064" cy="1018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489856</xdr:colOff>
      <xdr:row>0</xdr:row>
      <xdr:rowOff>20411</xdr:rowOff>
    </xdr:from>
    <xdr:to>
      <xdr:col>6</xdr:col>
      <xdr:colOff>625201</xdr:colOff>
      <xdr:row>0</xdr:row>
      <xdr:rowOff>472640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2356" y="20411"/>
          <a:ext cx="2060933" cy="440799"/>
        </a:xfrm>
        <a:prstGeom prst="rect">
          <a:avLst/>
        </a:prstGeom>
      </xdr:spPr>
    </xdr:pic>
    <xdr:clientData/>
  </xdr:twoCellAnchor>
  <xdr:twoCellAnchor editAs="oneCell">
    <xdr:from>
      <xdr:col>7</xdr:col>
      <xdr:colOff>163286</xdr:colOff>
      <xdr:row>0</xdr:row>
      <xdr:rowOff>27215</xdr:rowOff>
    </xdr:from>
    <xdr:to>
      <xdr:col>7</xdr:col>
      <xdr:colOff>895622</xdr:colOff>
      <xdr:row>0</xdr:row>
      <xdr:rowOff>516434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7511143" y="27215"/>
          <a:ext cx="722811" cy="493029"/>
        </a:xfrm>
        <a:prstGeom prst="rect">
          <a:avLst/>
        </a:prstGeom>
      </xdr:spPr>
    </xdr:pic>
    <xdr:clientData/>
  </xdr:twoCellAnchor>
  <xdr:twoCellAnchor editAs="oneCell">
    <xdr:from>
      <xdr:col>2</xdr:col>
      <xdr:colOff>2140323</xdr:colOff>
      <xdr:row>0</xdr:row>
      <xdr:rowOff>44824</xdr:rowOff>
    </xdr:from>
    <xdr:to>
      <xdr:col>4</xdr:col>
      <xdr:colOff>475858</xdr:colOff>
      <xdr:row>0</xdr:row>
      <xdr:rowOff>510588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6235" y="44824"/>
          <a:ext cx="2008150" cy="461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FA24-C1DA-4977-BB2B-DF0F797F08DC}">
  <dimension ref="A1:AP60"/>
  <sheetViews>
    <sheetView topLeftCell="A4" zoomScale="55" zoomScaleNormal="55" workbookViewId="0">
      <selection activeCell="J12" sqref="J12"/>
    </sheetView>
  </sheetViews>
  <sheetFormatPr defaultColWidth="9.44140625" defaultRowHeight="15"/>
  <cols>
    <col min="1" max="1" width="1.44140625" style="141" customWidth="1"/>
    <col min="2" max="2" width="6.44140625" style="172" customWidth="1"/>
    <col min="3" max="3" width="12.33203125" style="170" bestFit="1" customWidth="1"/>
    <col min="4" max="4" width="19.44140625" style="171" customWidth="1"/>
    <col min="5" max="5" width="11.33203125" style="171" bestFit="1" customWidth="1"/>
    <col min="6" max="6" width="20.44140625" style="172" customWidth="1"/>
    <col min="7" max="7" width="20.6640625" style="171" bestFit="1" customWidth="1"/>
    <col min="8" max="8" width="22.44140625" style="172" bestFit="1" customWidth="1"/>
    <col min="9" max="9" width="19.109375" style="145" customWidth="1"/>
    <col min="10" max="10" width="69" style="173" customWidth="1"/>
    <col min="11" max="11" width="19.109375" style="171" hidden="1" customWidth="1"/>
    <col min="12" max="12" width="26.77734375" style="145" bestFit="1" customWidth="1"/>
    <col min="13" max="13" width="88.33203125" style="174" customWidth="1"/>
    <col min="14" max="14" width="18.44140625" style="145" bestFit="1" customWidth="1"/>
    <col min="15" max="15" width="19.44140625" style="172" customWidth="1"/>
    <col min="16" max="16" width="53.6640625" style="174" customWidth="1"/>
    <col min="17" max="24" width="8.44140625" style="145" customWidth="1"/>
    <col min="25" max="25" width="13.109375" style="145" bestFit="1" customWidth="1"/>
    <col min="26" max="27" width="8.44140625" style="145" customWidth="1"/>
    <col min="28" max="28" width="15.44140625" style="145" bestFit="1" customWidth="1"/>
    <col min="29" max="219" width="8.44140625" style="145" customWidth="1"/>
    <col min="220" max="241" width="2.44140625" style="145" customWidth="1"/>
    <col min="242" max="242" width="3.6640625" style="145" customWidth="1"/>
    <col min="243" max="244" width="5.44140625" style="145" bestFit="1" customWidth="1"/>
    <col min="245" max="16384" width="9.44140625" style="145"/>
  </cols>
  <sheetData>
    <row r="1" spans="1:42" ht="24.75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90"/>
      <c r="M1" s="197"/>
      <c r="N1" s="142" t="s">
        <v>1</v>
      </c>
      <c r="O1" s="143">
        <f>COUNTIF(O6:O199,"CLOSE")</f>
        <v>2</v>
      </c>
      <c r="P1" s="144"/>
    </row>
    <row r="2" spans="1:42" ht="24.75" customHeight="1">
      <c r="B2" s="191"/>
      <c r="C2" s="192"/>
      <c r="D2" s="192"/>
      <c r="E2" s="192"/>
      <c r="F2" s="192"/>
      <c r="G2" s="192"/>
      <c r="H2" s="192"/>
      <c r="I2" s="192"/>
      <c r="J2" s="192"/>
      <c r="K2" s="192"/>
      <c r="L2" s="193"/>
      <c r="M2" s="197"/>
      <c r="N2" s="146" t="s">
        <v>2</v>
      </c>
      <c r="O2" s="143">
        <f>COUNTIF(O6:O198,"WIP")</f>
        <v>2</v>
      </c>
      <c r="P2" s="144"/>
    </row>
    <row r="3" spans="1:42" ht="24.75" customHeight="1">
      <c r="B3" s="191"/>
      <c r="C3" s="192"/>
      <c r="D3" s="192"/>
      <c r="E3" s="192"/>
      <c r="F3" s="192"/>
      <c r="G3" s="192"/>
      <c r="H3" s="192"/>
      <c r="I3" s="192"/>
      <c r="J3" s="192"/>
      <c r="K3" s="192"/>
      <c r="L3" s="193"/>
      <c r="M3" s="197"/>
      <c r="N3" s="147" t="s">
        <v>3</v>
      </c>
      <c r="O3" s="143">
        <f>COUNTIF(O6:O199,"OPEN")</f>
        <v>2</v>
      </c>
      <c r="P3" s="144"/>
    </row>
    <row r="4" spans="1:42" ht="24.75" customHeight="1">
      <c r="A4" s="148"/>
      <c r="B4" s="194"/>
      <c r="C4" s="195"/>
      <c r="D4" s="195"/>
      <c r="E4" s="195"/>
      <c r="F4" s="195"/>
      <c r="G4" s="195"/>
      <c r="H4" s="195"/>
      <c r="I4" s="195"/>
      <c r="J4" s="195"/>
      <c r="K4" s="195"/>
      <c r="L4" s="196"/>
      <c r="M4" s="198"/>
      <c r="N4" s="149" t="s">
        <v>4</v>
      </c>
      <c r="O4" s="143">
        <f>SUM(O1:O3)</f>
        <v>6</v>
      </c>
      <c r="P4" s="150"/>
    </row>
    <row r="5" spans="1:42" s="155" customFormat="1" ht="67.5" customHeight="1">
      <c r="A5" s="151"/>
      <c r="B5" s="152" t="s">
        <v>5</v>
      </c>
      <c r="C5" s="153" t="s">
        <v>6</v>
      </c>
      <c r="D5" s="153" t="s">
        <v>7</v>
      </c>
      <c r="E5" s="153" t="s">
        <v>8</v>
      </c>
      <c r="F5" s="153" t="s">
        <v>9</v>
      </c>
      <c r="G5" s="153" t="s">
        <v>10</v>
      </c>
      <c r="H5" s="153" t="s">
        <v>11</v>
      </c>
      <c r="I5" s="153" t="s">
        <v>12</v>
      </c>
      <c r="J5" s="153" t="s">
        <v>13</v>
      </c>
      <c r="K5" s="153" t="s">
        <v>14</v>
      </c>
      <c r="L5" s="153" t="s">
        <v>15</v>
      </c>
      <c r="M5" s="153" t="s">
        <v>16</v>
      </c>
      <c r="N5" s="153" t="s">
        <v>17</v>
      </c>
      <c r="O5" s="153" t="s">
        <v>18</v>
      </c>
      <c r="P5" s="154" t="s">
        <v>19</v>
      </c>
      <c r="AP5" s="145"/>
    </row>
    <row r="6" spans="1:42" s="163" customFormat="1" ht="40.799999999999997">
      <c r="A6" s="156"/>
      <c r="B6" s="157">
        <v>1</v>
      </c>
      <c r="C6" s="158"/>
      <c r="D6" s="159"/>
      <c r="E6" s="159"/>
      <c r="F6" s="159" t="s">
        <v>20</v>
      </c>
      <c r="G6" s="159" t="s">
        <v>21</v>
      </c>
      <c r="H6" s="159" t="s">
        <v>22</v>
      </c>
      <c r="I6" s="159">
        <v>45868</v>
      </c>
      <c r="J6" s="160" t="s">
        <v>23</v>
      </c>
      <c r="K6" s="160"/>
      <c r="L6" s="159">
        <v>45868</v>
      </c>
      <c r="M6" s="161"/>
      <c r="N6" s="159">
        <v>45868</v>
      </c>
      <c r="O6" s="159" t="s">
        <v>24</v>
      </c>
      <c r="P6" s="162" t="s">
        <v>25</v>
      </c>
      <c r="Z6" s="155"/>
      <c r="AA6" s="155"/>
      <c r="AP6" s="145"/>
    </row>
    <row r="7" spans="1:42" s="163" customFormat="1" ht="40.799999999999997">
      <c r="A7" s="156"/>
      <c r="B7" s="157">
        <v>2</v>
      </c>
      <c r="C7" s="158"/>
      <c r="D7" s="159"/>
      <c r="E7" s="159"/>
      <c r="F7" s="159" t="s">
        <v>20</v>
      </c>
      <c r="G7" s="159" t="s">
        <v>21</v>
      </c>
      <c r="H7" s="159" t="s">
        <v>22</v>
      </c>
      <c r="I7" s="159">
        <v>45868</v>
      </c>
      <c r="J7" s="160" t="s">
        <v>26</v>
      </c>
      <c r="K7" s="160"/>
      <c r="L7" s="159">
        <v>45868</v>
      </c>
      <c r="M7" s="161"/>
      <c r="N7" s="159">
        <v>45868</v>
      </c>
      <c r="O7" s="159" t="s">
        <v>24</v>
      </c>
      <c r="P7" s="162" t="s">
        <v>27</v>
      </c>
      <c r="Y7" s="164"/>
      <c r="Z7" s="155"/>
      <c r="AA7" s="155"/>
      <c r="AP7" s="145"/>
    </row>
    <row r="8" spans="1:42" s="163" customFormat="1" ht="40.799999999999997">
      <c r="A8" s="157"/>
      <c r="B8" s="157">
        <v>3</v>
      </c>
      <c r="C8" s="158"/>
      <c r="D8" s="159"/>
      <c r="E8" s="159"/>
      <c r="F8" s="159" t="s">
        <v>28</v>
      </c>
      <c r="G8" s="159" t="s">
        <v>29</v>
      </c>
      <c r="H8" s="159" t="s">
        <v>20</v>
      </c>
      <c r="I8" s="159">
        <v>45868</v>
      </c>
      <c r="J8" s="160" t="s">
        <v>30</v>
      </c>
      <c r="K8" s="160"/>
      <c r="L8" s="159">
        <v>45880</v>
      </c>
      <c r="M8" s="161"/>
      <c r="N8" s="159"/>
      <c r="O8" s="159" t="s">
        <v>2</v>
      </c>
      <c r="P8" s="162" t="s">
        <v>31</v>
      </c>
      <c r="Y8" s="164"/>
      <c r="Z8" s="155"/>
      <c r="AA8" s="155"/>
      <c r="AP8" s="145"/>
    </row>
    <row r="9" spans="1:42" s="163" customFormat="1" ht="20.399999999999999">
      <c r="A9" s="156"/>
      <c r="B9" s="157">
        <v>8</v>
      </c>
      <c r="C9" s="158"/>
      <c r="D9" s="159"/>
      <c r="E9" s="159"/>
      <c r="F9" s="159" t="s">
        <v>28</v>
      </c>
      <c r="G9" s="159" t="s">
        <v>29</v>
      </c>
      <c r="H9" s="159" t="s">
        <v>20</v>
      </c>
      <c r="I9" s="159"/>
      <c r="J9" s="165" t="s">
        <v>32</v>
      </c>
      <c r="K9" s="160"/>
      <c r="L9" s="159"/>
      <c r="M9" s="161"/>
      <c r="N9" s="159"/>
      <c r="O9" s="159"/>
      <c r="P9" s="162"/>
      <c r="AP9" s="145"/>
    </row>
    <row r="10" spans="1:42" s="163" customFormat="1" ht="67.95" customHeight="1">
      <c r="A10" s="156"/>
      <c r="B10" s="157">
        <v>4</v>
      </c>
      <c r="C10" s="158"/>
      <c r="D10" s="159"/>
      <c r="E10" s="159"/>
      <c r="F10" s="159" t="s">
        <v>28</v>
      </c>
      <c r="G10" s="159" t="s">
        <v>29</v>
      </c>
      <c r="H10" s="159" t="s">
        <v>20</v>
      </c>
      <c r="I10" s="159">
        <v>45869</v>
      </c>
      <c r="J10" s="160" t="s">
        <v>33</v>
      </c>
      <c r="K10" s="160"/>
      <c r="L10" s="159">
        <v>45876</v>
      </c>
      <c r="M10" s="161"/>
      <c r="N10" s="159"/>
      <c r="O10" s="159" t="s">
        <v>2</v>
      </c>
      <c r="P10" s="162" t="s">
        <v>34</v>
      </c>
      <c r="Z10" s="155"/>
      <c r="AA10" s="155"/>
      <c r="AP10" s="145"/>
    </row>
    <row r="11" spans="1:42" s="163" customFormat="1" ht="61.2">
      <c r="A11" s="156"/>
      <c r="B11" s="157">
        <v>5</v>
      </c>
      <c r="C11" s="158"/>
      <c r="D11" s="159"/>
      <c r="E11" s="159"/>
      <c r="F11" s="159" t="s">
        <v>35</v>
      </c>
      <c r="G11" s="159" t="s">
        <v>29</v>
      </c>
      <c r="H11" s="159" t="s">
        <v>36</v>
      </c>
      <c r="I11" s="159">
        <v>45870</v>
      </c>
      <c r="J11" s="160" t="s">
        <v>37</v>
      </c>
      <c r="K11" s="160"/>
      <c r="L11" s="159">
        <v>45876</v>
      </c>
      <c r="M11" s="161"/>
      <c r="N11" s="159"/>
      <c r="O11" s="159" t="s">
        <v>38</v>
      </c>
      <c r="P11" s="162" t="s">
        <v>39</v>
      </c>
      <c r="AP11" s="145"/>
    </row>
    <row r="12" spans="1:42" s="163" customFormat="1" ht="61.2">
      <c r="A12" s="156"/>
      <c r="B12" s="157">
        <v>6</v>
      </c>
      <c r="C12" s="158"/>
      <c r="D12" s="159"/>
      <c r="E12" s="159"/>
      <c r="F12" s="159" t="s">
        <v>40</v>
      </c>
      <c r="G12" s="159" t="s">
        <v>29</v>
      </c>
      <c r="H12" s="159" t="s">
        <v>41</v>
      </c>
      <c r="I12" s="159">
        <v>45873</v>
      </c>
      <c r="J12" s="165" t="s">
        <v>42</v>
      </c>
      <c r="K12" s="160"/>
      <c r="L12" s="159">
        <v>45877</v>
      </c>
      <c r="M12" s="161"/>
      <c r="N12" s="159"/>
      <c r="O12" s="159" t="s">
        <v>38</v>
      </c>
      <c r="P12" s="162" t="s">
        <v>43</v>
      </c>
      <c r="Z12" s="155"/>
      <c r="AA12" s="155"/>
      <c r="AP12" s="145"/>
    </row>
    <row r="13" spans="1:42" s="163" customFormat="1" ht="60.75" customHeight="1">
      <c r="A13" s="156"/>
      <c r="B13" s="157">
        <v>7</v>
      </c>
      <c r="C13" s="158"/>
      <c r="D13" s="159"/>
      <c r="E13" s="159"/>
      <c r="F13" s="159" t="s">
        <v>28</v>
      </c>
      <c r="G13" s="159" t="s">
        <v>29</v>
      </c>
      <c r="H13" s="159" t="s">
        <v>20</v>
      </c>
      <c r="I13" s="159"/>
      <c r="J13" s="160" t="s">
        <v>44</v>
      </c>
      <c r="K13" s="160"/>
      <c r="L13" s="159"/>
      <c r="M13" s="161"/>
      <c r="N13" s="159"/>
      <c r="O13" s="159"/>
      <c r="P13" s="162"/>
      <c r="Z13" s="155"/>
      <c r="AA13" s="155"/>
      <c r="AP13" s="145"/>
    </row>
    <row r="14" spans="1:42" s="163" customFormat="1" ht="20.399999999999999">
      <c r="A14" s="156"/>
      <c r="B14" s="157">
        <v>9</v>
      </c>
      <c r="C14" s="158"/>
      <c r="D14" s="159"/>
      <c r="E14" s="159"/>
      <c r="F14" s="159"/>
      <c r="G14" s="159"/>
      <c r="H14" s="159"/>
      <c r="I14" s="159"/>
      <c r="J14" s="165"/>
      <c r="K14" s="160"/>
      <c r="L14" s="159"/>
      <c r="M14" s="161"/>
      <c r="N14" s="159"/>
      <c r="O14" s="159"/>
      <c r="P14" s="162"/>
      <c r="AP14" s="145"/>
    </row>
    <row r="15" spans="1:42" s="163" customFormat="1" ht="20.399999999999999">
      <c r="A15" s="156"/>
      <c r="B15" s="157">
        <v>10</v>
      </c>
      <c r="C15" s="158"/>
      <c r="D15" s="159"/>
      <c r="E15" s="159"/>
      <c r="F15" s="159"/>
      <c r="G15" s="159"/>
      <c r="H15" s="159"/>
      <c r="I15" s="159"/>
      <c r="J15" s="165"/>
      <c r="K15" s="160"/>
      <c r="L15" s="159"/>
      <c r="M15" s="161"/>
      <c r="N15" s="159"/>
      <c r="O15" s="159"/>
      <c r="P15" s="162"/>
      <c r="AP15" s="145"/>
    </row>
    <row r="16" spans="1:42" s="163" customFormat="1" ht="20.399999999999999">
      <c r="A16" s="156"/>
      <c r="B16" s="157">
        <v>11</v>
      </c>
      <c r="C16" s="158"/>
      <c r="D16" s="159"/>
      <c r="E16" s="159"/>
      <c r="F16" s="159"/>
      <c r="G16" s="159"/>
      <c r="H16" s="159"/>
      <c r="I16" s="159"/>
      <c r="J16" s="165"/>
      <c r="K16" s="160"/>
      <c r="L16" s="159"/>
      <c r="M16" s="161"/>
      <c r="N16" s="159"/>
      <c r="O16" s="159"/>
      <c r="P16" s="162"/>
      <c r="AP16" s="145"/>
    </row>
    <row r="17" spans="1:42" s="163" customFormat="1" ht="46.35" customHeight="1">
      <c r="A17" s="156"/>
      <c r="B17" s="157">
        <v>12</v>
      </c>
      <c r="C17" s="158"/>
      <c r="D17" s="159"/>
      <c r="E17" s="159"/>
      <c r="F17" s="159"/>
      <c r="G17" s="159"/>
      <c r="H17" s="159"/>
      <c r="I17" s="159"/>
      <c r="J17" s="165"/>
      <c r="K17" s="160"/>
      <c r="L17" s="159"/>
      <c r="M17" s="161"/>
      <c r="N17" s="159"/>
      <c r="O17" s="159"/>
      <c r="P17" s="162" t="s">
        <v>45</v>
      </c>
      <c r="AP17" s="145"/>
    </row>
    <row r="18" spans="1:42" s="163" customFormat="1" ht="20.399999999999999">
      <c r="A18" s="156"/>
      <c r="B18" s="157">
        <v>13</v>
      </c>
      <c r="C18" s="158"/>
      <c r="D18" s="159"/>
      <c r="E18" s="159"/>
      <c r="F18" s="159"/>
      <c r="G18" s="159"/>
      <c r="H18" s="159"/>
      <c r="I18" s="159"/>
      <c r="J18" s="160"/>
      <c r="K18" s="160"/>
      <c r="L18" s="159"/>
      <c r="M18" s="161"/>
      <c r="N18" s="159"/>
      <c r="O18" s="159"/>
      <c r="P18" s="162"/>
      <c r="Z18" s="155"/>
      <c r="AA18" s="155"/>
      <c r="AP18" s="145"/>
    </row>
    <row r="19" spans="1:42" s="163" customFormat="1" ht="47.25" customHeight="1">
      <c r="A19" s="156"/>
      <c r="B19" s="157">
        <v>14</v>
      </c>
      <c r="C19" s="158"/>
      <c r="D19" s="159"/>
      <c r="E19" s="159"/>
      <c r="F19" s="159"/>
      <c r="G19" s="159"/>
      <c r="H19" s="159"/>
      <c r="I19" s="159"/>
      <c r="J19" s="165"/>
      <c r="K19" s="160"/>
      <c r="L19" s="159"/>
      <c r="M19" s="161"/>
      <c r="N19" s="159"/>
      <c r="O19" s="159"/>
      <c r="P19" s="162"/>
      <c r="AP19" s="145"/>
    </row>
    <row r="20" spans="1:42" s="163" customFormat="1" ht="20.399999999999999">
      <c r="A20" s="156"/>
      <c r="B20" s="157">
        <v>15</v>
      </c>
      <c r="C20" s="158"/>
      <c r="D20" s="159"/>
      <c r="E20" s="159"/>
      <c r="F20" s="159"/>
      <c r="G20" s="159"/>
      <c r="H20" s="159"/>
      <c r="I20" s="159"/>
      <c r="J20" s="160"/>
      <c r="K20" s="160"/>
      <c r="L20" s="159"/>
      <c r="M20" s="161"/>
      <c r="N20" s="159"/>
      <c r="O20" s="159"/>
      <c r="P20" s="162"/>
      <c r="Z20" s="155"/>
      <c r="AA20" s="155"/>
      <c r="AP20" s="145"/>
    </row>
    <row r="21" spans="1:42" s="163" customFormat="1" ht="20.399999999999999">
      <c r="A21" s="156"/>
      <c r="B21" s="157">
        <v>16</v>
      </c>
      <c r="C21" s="158"/>
      <c r="D21" s="159"/>
      <c r="E21" s="159"/>
      <c r="F21" s="159"/>
      <c r="G21" s="159"/>
      <c r="H21" s="159"/>
      <c r="I21" s="159"/>
      <c r="J21" s="160"/>
      <c r="K21" s="160"/>
      <c r="L21" s="159"/>
      <c r="M21" s="161"/>
      <c r="N21" s="159"/>
      <c r="O21" s="159"/>
      <c r="P21" s="162"/>
      <c r="Z21" s="155"/>
      <c r="AA21" s="155"/>
      <c r="AP21" s="145"/>
    </row>
    <row r="22" spans="1:42" s="163" customFormat="1" ht="20.399999999999999">
      <c r="A22" s="156"/>
      <c r="B22" s="157">
        <v>17</v>
      </c>
      <c r="C22" s="158"/>
      <c r="D22" s="159"/>
      <c r="E22" s="159"/>
      <c r="F22" s="159"/>
      <c r="G22" s="159"/>
      <c r="H22" s="159"/>
      <c r="I22" s="159"/>
      <c r="J22" s="160"/>
      <c r="K22" s="160"/>
      <c r="L22" s="159"/>
      <c r="M22" s="161"/>
      <c r="N22" s="159"/>
      <c r="O22" s="159"/>
      <c r="P22" s="162"/>
      <c r="Z22" s="155"/>
      <c r="AA22" s="155"/>
      <c r="AP22" s="145"/>
    </row>
    <row r="23" spans="1:42" s="163" customFormat="1" ht="20.399999999999999">
      <c r="A23" s="156"/>
      <c r="B23" s="157">
        <v>18</v>
      </c>
      <c r="C23" s="158"/>
      <c r="D23" s="159"/>
      <c r="E23" s="159"/>
      <c r="F23" s="159"/>
      <c r="G23" s="159"/>
      <c r="H23" s="159"/>
      <c r="I23" s="159"/>
      <c r="J23" s="160"/>
      <c r="K23" s="160"/>
      <c r="L23" s="159"/>
      <c r="M23" s="161"/>
      <c r="N23" s="159"/>
      <c r="O23" s="159"/>
      <c r="P23" s="162"/>
      <c r="Z23" s="155"/>
      <c r="AA23" s="155"/>
      <c r="AP23" s="145"/>
    </row>
    <row r="24" spans="1:42" s="163" customFormat="1" ht="1.65" customHeight="1">
      <c r="A24" s="156"/>
      <c r="B24" s="157">
        <v>19</v>
      </c>
      <c r="C24" s="158"/>
      <c r="D24" s="159"/>
      <c r="E24" s="159"/>
      <c r="F24" s="159"/>
      <c r="G24" s="159"/>
      <c r="H24" s="159"/>
      <c r="I24" s="159"/>
      <c r="J24" s="160"/>
      <c r="K24" s="160"/>
      <c r="L24" s="159"/>
      <c r="M24" s="161"/>
      <c r="N24" s="159"/>
      <c r="O24" s="159"/>
      <c r="P24" s="162"/>
      <c r="Z24" s="155"/>
      <c r="AA24" s="155"/>
      <c r="AP24" s="145"/>
    </row>
    <row r="25" spans="1:42" s="163" customFormat="1" ht="20.399999999999999">
      <c r="A25" s="156"/>
      <c r="B25" s="157">
        <v>20</v>
      </c>
      <c r="C25" s="158"/>
      <c r="D25" s="159"/>
      <c r="E25" s="159"/>
      <c r="F25" s="159"/>
      <c r="G25" s="159"/>
      <c r="H25" s="159"/>
      <c r="I25" s="159"/>
      <c r="J25" s="160"/>
      <c r="K25" s="160"/>
      <c r="L25" s="159"/>
      <c r="M25" s="161"/>
      <c r="N25" s="159"/>
      <c r="O25" s="159"/>
      <c r="P25" s="162"/>
      <c r="Z25" s="155"/>
      <c r="AA25" s="155"/>
      <c r="AP25" s="145"/>
    </row>
    <row r="26" spans="1:42" s="163" customFormat="1" ht="20.399999999999999">
      <c r="A26" s="156"/>
      <c r="B26" s="157">
        <v>22</v>
      </c>
      <c r="C26" s="158"/>
      <c r="D26" s="159"/>
      <c r="E26" s="159"/>
      <c r="F26" s="159"/>
      <c r="G26" s="159"/>
      <c r="H26" s="159"/>
      <c r="I26" s="159"/>
      <c r="J26" s="160"/>
      <c r="K26" s="160"/>
      <c r="L26" s="159"/>
      <c r="M26" s="161"/>
      <c r="N26" s="159"/>
      <c r="O26" s="159"/>
      <c r="P26" s="162"/>
      <c r="AP26" s="145"/>
    </row>
    <row r="27" spans="1:42" s="163" customFormat="1" ht="47.25" customHeight="1">
      <c r="A27" s="156"/>
      <c r="B27" s="157">
        <v>21</v>
      </c>
      <c r="C27" s="158"/>
      <c r="D27" s="159"/>
      <c r="E27" s="159"/>
      <c r="F27" s="159"/>
      <c r="G27" s="159"/>
      <c r="H27" s="159"/>
      <c r="I27" s="159"/>
      <c r="J27" s="160"/>
      <c r="K27" s="160"/>
      <c r="L27" s="159"/>
      <c r="M27" s="161"/>
      <c r="N27" s="159"/>
      <c r="O27" s="159"/>
      <c r="P27" s="162"/>
      <c r="AP27" s="145"/>
    </row>
    <row r="28" spans="1:42" s="163" customFormat="1" ht="47.25" customHeight="1">
      <c r="A28" s="156"/>
      <c r="B28" s="157">
        <v>23</v>
      </c>
      <c r="C28" s="158"/>
      <c r="D28" s="159"/>
      <c r="E28" s="159"/>
      <c r="F28" s="159"/>
      <c r="G28" s="159"/>
      <c r="H28" s="159"/>
      <c r="I28" s="159"/>
      <c r="J28" s="165"/>
      <c r="K28" s="160"/>
      <c r="L28" s="159"/>
      <c r="M28" s="161"/>
      <c r="N28" s="159"/>
      <c r="O28" s="159"/>
      <c r="P28" s="162"/>
      <c r="AP28" s="145"/>
    </row>
    <row r="29" spans="1:42" s="163" customFormat="1" ht="20.399999999999999">
      <c r="A29" s="156"/>
      <c r="B29" s="157">
        <v>24</v>
      </c>
      <c r="C29" s="158"/>
      <c r="D29" s="159"/>
      <c r="E29" s="159"/>
      <c r="F29" s="159"/>
      <c r="G29" s="159"/>
      <c r="H29" s="159"/>
      <c r="I29" s="159"/>
      <c r="J29" s="165"/>
      <c r="K29" s="160"/>
      <c r="L29" s="159"/>
      <c r="M29" s="161"/>
      <c r="N29" s="159"/>
      <c r="O29" s="159"/>
      <c r="P29" s="162"/>
      <c r="AP29" s="145"/>
    </row>
    <row r="30" spans="1:42" s="163" customFormat="1" ht="47.25" customHeight="1">
      <c r="A30" s="156"/>
      <c r="B30" s="157">
        <v>25</v>
      </c>
      <c r="C30" s="158"/>
      <c r="D30" s="159"/>
      <c r="E30" s="159"/>
      <c r="F30" s="159"/>
      <c r="G30" s="159"/>
      <c r="H30" s="159"/>
      <c r="I30" s="159"/>
      <c r="J30" s="165"/>
      <c r="K30" s="160"/>
      <c r="L30" s="159"/>
      <c r="M30" s="161"/>
      <c r="N30" s="159"/>
      <c r="O30" s="159"/>
      <c r="P30" s="162"/>
      <c r="AP30" s="145"/>
    </row>
    <row r="31" spans="1:42" s="163" customFormat="1" ht="47.25" customHeight="1">
      <c r="A31" s="156"/>
      <c r="B31" s="157">
        <v>26</v>
      </c>
      <c r="C31" s="158"/>
      <c r="D31" s="159"/>
      <c r="E31" s="159"/>
      <c r="F31" s="159"/>
      <c r="G31" s="159"/>
      <c r="H31" s="159"/>
      <c r="I31" s="159"/>
      <c r="J31" s="165"/>
      <c r="K31" s="160"/>
      <c r="L31" s="159"/>
      <c r="M31" s="161"/>
      <c r="N31" s="159"/>
      <c r="O31" s="159"/>
      <c r="P31" s="162"/>
      <c r="AP31" s="145"/>
    </row>
    <row r="32" spans="1:42" s="163" customFormat="1" ht="47.25" customHeight="1">
      <c r="A32" s="156"/>
      <c r="B32" s="157">
        <v>27</v>
      </c>
      <c r="C32" s="158"/>
      <c r="D32" s="159"/>
      <c r="E32" s="159"/>
      <c r="F32" s="159"/>
      <c r="G32" s="159"/>
      <c r="H32" s="159"/>
      <c r="I32" s="159"/>
      <c r="J32" s="165"/>
      <c r="K32" s="160"/>
      <c r="L32" s="159"/>
      <c r="M32" s="165"/>
      <c r="N32" s="159"/>
      <c r="O32" s="159"/>
      <c r="P32" s="162"/>
      <c r="AP32" s="145"/>
    </row>
    <row r="33" spans="1:42" s="163" customFormat="1" ht="23.4">
      <c r="A33" s="156"/>
      <c r="B33" s="157">
        <v>28</v>
      </c>
      <c r="C33" s="158"/>
      <c r="D33" s="159"/>
      <c r="E33" s="159"/>
      <c r="F33" s="159"/>
      <c r="G33" s="159"/>
      <c r="H33" s="159"/>
      <c r="I33" s="159"/>
      <c r="J33" s="81"/>
      <c r="K33" s="160"/>
      <c r="L33" s="159"/>
      <c r="M33" s="166"/>
      <c r="N33" s="159"/>
      <c r="O33" s="159"/>
      <c r="P33" s="162"/>
      <c r="AP33" s="145"/>
    </row>
    <row r="34" spans="1:42" s="163" customFormat="1" ht="23.4">
      <c r="A34" s="156"/>
      <c r="B34" s="157">
        <v>29</v>
      </c>
      <c r="C34" s="158"/>
      <c r="D34" s="159"/>
      <c r="E34" s="159"/>
      <c r="F34" s="159"/>
      <c r="G34" s="159"/>
      <c r="H34" s="159"/>
      <c r="I34" s="159"/>
      <c r="J34" s="81"/>
      <c r="K34" s="160"/>
      <c r="L34" s="159"/>
      <c r="M34" s="161"/>
      <c r="N34" s="159"/>
      <c r="O34" s="159"/>
      <c r="P34" s="162"/>
      <c r="AP34" s="145"/>
    </row>
    <row r="35" spans="1:42" s="163" customFormat="1" ht="23.4">
      <c r="A35" s="156"/>
      <c r="B35" s="157">
        <v>30</v>
      </c>
      <c r="C35" s="158"/>
      <c r="D35" s="159"/>
      <c r="E35" s="159"/>
      <c r="F35" s="159"/>
      <c r="G35" s="159"/>
      <c r="H35" s="159"/>
      <c r="I35" s="159"/>
      <c r="J35" s="81"/>
      <c r="K35" s="160"/>
      <c r="L35" s="159"/>
      <c r="M35" s="161"/>
      <c r="N35" s="159"/>
      <c r="O35" s="159"/>
      <c r="P35" s="162"/>
      <c r="AP35" s="145"/>
    </row>
    <row r="36" spans="1:42" s="163" customFormat="1" ht="23.4">
      <c r="A36" s="156"/>
      <c r="B36" s="157">
        <v>31</v>
      </c>
      <c r="C36" s="158"/>
      <c r="D36" s="159"/>
      <c r="E36" s="159"/>
      <c r="F36" s="159"/>
      <c r="G36" s="159"/>
      <c r="H36" s="159"/>
      <c r="I36" s="159"/>
      <c r="J36" s="81"/>
      <c r="K36" s="160"/>
      <c r="L36" s="159"/>
      <c r="M36" s="161"/>
      <c r="N36" s="159"/>
      <c r="O36" s="159"/>
      <c r="P36" s="162"/>
      <c r="AP36" s="145"/>
    </row>
    <row r="37" spans="1:42" s="163" customFormat="1" ht="23.4">
      <c r="A37" s="156"/>
      <c r="B37" s="157">
        <v>32</v>
      </c>
      <c r="C37" s="158"/>
      <c r="D37" s="159"/>
      <c r="E37" s="159"/>
      <c r="F37" s="159"/>
      <c r="G37" s="159"/>
      <c r="H37" s="159"/>
      <c r="I37" s="159"/>
      <c r="J37" s="81"/>
      <c r="K37" s="160"/>
      <c r="L37" s="159"/>
      <c r="M37" s="161"/>
      <c r="N37" s="159"/>
      <c r="O37" s="159"/>
      <c r="P37" s="162"/>
      <c r="AP37" s="145"/>
    </row>
    <row r="38" spans="1:42" s="163" customFormat="1" ht="23.4">
      <c r="A38" s="156"/>
      <c r="B38" s="157">
        <v>33</v>
      </c>
      <c r="C38" s="158"/>
      <c r="D38" s="159"/>
      <c r="E38" s="159"/>
      <c r="F38" s="159"/>
      <c r="G38" s="159"/>
      <c r="H38" s="159"/>
      <c r="I38" s="159"/>
      <c r="J38" s="81"/>
      <c r="K38" s="160"/>
      <c r="L38" s="159"/>
      <c r="M38" s="161"/>
      <c r="N38" s="159"/>
      <c r="O38" s="159"/>
      <c r="P38" s="162"/>
      <c r="AP38" s="145"/>
    </row>
    <row r="39" spans="1:42" s="163" customFormat="1" ht="23.4">
      <c r="A39" s="156"/>
      <c r="B39" s="157">
        <v>34</v>
      </c>
      <c r="C39" s="158"/>
      <c r="D39" s="159"/>
      <c r="E39" s="159"/>
      <c r="F39" s="159"/>
      <c r="G39" s="159"/>
      <c r="H39" s="159"/>
      <c r="I39" s="159"/>
      <c r="J39" s="81"/>
      <c r="K39" s="160"/>
      <c r="L39" s="159"/>
      <c r="M39" s="161"/>
      <c r="N39" s="159"/>
      <c r="O39" s="159"/>
      <c r="P39" s="162"/>
      <c r="AP39" s="145"/>
    </row>
    <row r="40" spans="1:42" s="163" customFormat="1" ht="23.4">
      <c r="A40" s="156"/>
      <c r="B40" s="157">
        <v>35</v>
      </c>
      <c r="C40" s="158"/>
      <c r="D40" s="159"/>
      <c r="E40" s="159"/>
      <c r="F40" s="159"/>
      <c r="G40" s="159"/>
      <c r="H40" s="159"/>
      <c r="I40" s="159"/>
      <c r="J40" s="81"/>
      <c r="K40" s="160"/>
      <c r="L40" s="159"/>
      <c r="M40" s="161"/>
      <c r="N40" s="159"/>
      <c r="O40" s="159"/>
      <c r="P40" s="162"/>
      <c r="AP40" s="145"/>
    </row>
    <row r="41" spans="1:42" s="163" customFormat="1" ht="23.4">
      <c r="A41" s="156"/>
      <c r="B41" s="157">
        <v>36</v>
      </c>
      <c r="C41" s="158"/>
      <c r="D41" s="159"/>
      <c r="E41" s="159"/>
      <c r="F41" s="159"/>
      <c r="G41" s="159"/>
      <c r="H41" s="159"/>
      <c r="I41" s="159"/>
      <c r="J41" s="81"/>
      <c r="K41" s="160"/>
      <c r="L41" s="159"/>
      <c r="M41" s="161"/>
      <c r="N41" s="159"/>
      <c r="O41" s="159"/>
      <c r="P41" s="162"/>
      <c r="AP41" s="145"/>
    </row>
    <row r="42" spans="1:42" s="163" customFormat="1" ht="23.4">
      <c r="A42" s="156"/>
      <c r="B42" s="157">
        <v>37</v>
      </c>
      <c r="C42" s="158"/>
      <c r="D42" s="159"/>
      <c r="E42" s="159"/>
      <c r="F42" s="159"/>
      <c r="G42" s="159"/>
      <c r="H42" s="159"/>
      <c r="I42" s="159"/>
      <c r="J42" s="81"/>
      <c r="K42" s="160"/>
      <c r="L42" s="159"/>
      <c r="M42" s="161"/>
      <c r="N42" s="159"/>
      <c r="O42" s="159"/>
      <c r="P42" s="162"/>
      <c r="AP42" s="145"/>
    </row>
    <row r="43" spans="1:42" s="163" customFormat="1" ht="23.4">
      <c r="A43" s="156"/>
      <c r="B43" s="157">
        <v>38</v>
      </c>
      <c r="C43" s="158"/>
      <c r="D43" s="159"/>
      <c r="E43" s="159"/>
      <c r="F43" s="159"/>
      <c r="G43" s="159"/>
      <c r="H43" s="159"/>
      <c r="I43" s="159"/>
      <c r="J43" s="81"/>
      <c r="K43" s="160"/>
      <c r="L43" s="159"/>
      <c r="M43" s="161"/>
      <c r="N43" s="159"/>
      <c r="O43" s="159"/>
      <c r="P43" s="162"/>
      <c r="AP43" s="145"/>
    </row>
    <row r="44" spans="1:42" s="163" customFormat="1" ht="47.25" customHeight="1">
      <c r="A44" s="156"/>
      <c r="B44" s="157">
        <v>39</v>
      </c>
      <c r="C44" s="158"/>
      <c r="D44" s="159"/>
      <c r="E44" s="159"/>
      <c r="F44" s="159"/>
      <c r="G44" s="159"/>
      <c r="H44" s="159"/>
      <c r="I44" s="159"/>
      <c r="J44" s="165"/>
      <c r="K44" s="160"/>
      <c r="L44" s="159"/>
      <c r="M44" s="161"/>
      <c r="N44" s="159"/>
      <c r="O44" s="159"/>
      <c r="P44" s="162"/>
      <c r="AP44" s="145"/>
    </row>
    <row r="45" spans="1:42" s="163" customFormat="1" ht="47.25" customHeight="1">
      <c r="A45" s="156"/>
      <c r="B45" s="157">
        <v>40</v>
      </c>
      <c r="C45" s="158"/>
      <c r="D45" s="159"/>
      <c r="E45" s="159"/>
      <c r="F45" s="159"/>
      <c r="G45" s="159"/>
      <c r="H45" s="159"/>
      <c r="I45" s="159"/>
      <c r="J45" s="165"/>
      <c r="K45" s="160"/>
      <c r="L45" s="159"/>
      <c r="M45" s="161"/>
      <c r="N45" s="159"/>
      <c r="O45" s="159"/>
      <c r="P45" s="162"/>
      <c r="AP45" s="145"/>
    </row>
    <row r="46" spans="1:42" s="163" customFormat="1" ht="47.25" customHeight="1">
      <c r="A46" s="156"/>
      <c r="B46" s="157">
        <v>41</v>
      </c>
      <c r="C46" s="158"/>
      <c r="D46" s="159"/>
      <c r="E46" s="159"/>
      <c r="F46" s="159"/>
      <c r="G46" s="159"/>
      <c r="H46" s="159"/>
      <c r="I46" s="159"/>
      <c r="J46" s="165"/>
      <c r="K46" s="160"/>
      <c r="L46" s="159"/>
      <c r="M46" s="161"/>
      <c r="N46" s="159"/>
      <c r="O46" s="159"/>
      <c r="P46" s="162"/>
      <c r="AP46" s="145"/>
    </row>
    <row r="47" spans="1:42" s="163" customFormat="1" ht="47.25" customHeight="1">
      <c r="A47" s="156"/>
      <c r="B47" s="157">
        <v>42</v>
      </c>
      <c r="C47" s="158"/>
      <c r="D47" s="159"/>
      <c r="E47" s="159"/>
      <c r="F47" s="159"/>
      <c r="G47" s="159"/>
      <c r="H47" s="159"/>
      <c r="I47" s="159"/>
      <c r="J47" s="165"/>
      <c r="K47" s="160"/>
      <c r="L47" s="159"/>
      <c r="M47" s="161"/>
      <c r="N47" s="159"/>
      <c r="O47" s="159"/>
      <c r="P47" s="162"/>
      <c r="AP47" s="145"/>
    </row>
    <row r="48" spans="1:42" s="163" customFormat="1" ht="47.25" customHeight="1">
      <c r="A48" s="156"/>
      <c r="B48" s="157">
        <v>43</v>
      </c>
      <c r="C48" s="158"/>
      <c r="D48" s="159"/>
      <c r="E48" s="159"/>
      <c r="F48" s="159"/>
      <c r="G48" s="159"/>
      <c r="H48" s="159"/>
      <c r="I48" s="159"/>
      <c r="J48" s="165"/>
      <c r="K48" s="160"/>
      <c r="L48" s="159"/>
      <c r="M48" s="161"/>
      <c r="N48" s="159"/>
      <c r="O48" s="159"/>
      <c r="P48" s="162"/>
      <c r="AP48" s="145"/>
    </row>
    <row r="49" spans="1:42" s="163" customFormat="1" ht="47.25" customHeight="1">
      <c r="A49" s="156"/>
      <c r="B49" s="157">
        <v>44</v>
      </c>
      <c r="C49" s="158"/>
      <c r="D49" s="159"/>
      <c r="E49" s="159"/>
      <c r="F49" s="159"/>
      <c r="G49" s="159"/>
      <c r="H49" s="159"/>
      <c r="I49" s="159"/>
      <c r="J49" s="165"/>
      <c r="K49" s="160"/>
      <c r="L49" s="159"/>
      <c r="M49" s="161"/>
      <c r="N49" s="159"/>
      <c r="O49" s="159"/>
      <c r="P49" s="162"/>
      <c r="AP49" s="145"/>
    </row>
    <row r="50" spans="1:42" s="163" customFormat="1" ht="47.25" customHeight="1">
      <c r="A50" s="156"/>
      <c r="B50" s="157">
        <v>45</v>
      </c>
      <c r="C50" s="158"/>
      <c r="D50" s="159"/>
      <c r="E50" s="159"/>
      <c r="F50" s="159"/>
      <c r="G50" s="159"/>
      <c r="H50" s="159"/>
      <c r="I50" s="159"/>
      <c r="J50" s="160"/>
      <c r="K50" s="160"/>
      <c r="L50" s="159"/>
      <c r="M50" s="161"/>
      <c r="N50" s="159"/>
      <c r="O50" s="159"/>
      <c r="P50" s="162"/>
      <c r="AP50" s="145"/>
    </row>
    <row r="51" spans="1:42" s="163" customFormat="1" ht="20.399999999999999">
      <c r="A51" s="156"/>
      <c r="B51" s="157">
        <v>46</v>
      </c>
      <c r="C51" s="158"/>
      <c r="D51" s="159"/>
      <c r="E51" s="159"/>
      <c r="F51" s="159"/>
      <c r="G51" s="159"/>
      <c r="H51" s="159"/>
      <c r="I51" s="159"/>
      <c r="J51" s="160"/>
      <c r="K51" s="160"/>
      <c r="L51" s="159"/>
      <c r="M51" s="161"/>
      <c r="N51" s="159"/>
      <c r="O51" s="159"/>
      <c r="P51" s="162"/>
      <c r="AP51" s="145"/>
    </row>
    <row r="52" spans="1:42" s="163" customFormat="1" ht="63.6" customHeight="1">
      <c r="A52" s="156"/>
      <c r="B52" s="157">
        <v>47</v>
      </c>
      <c r="C52" s="158"/>
      <c r="D52" s="159"/>
      <c r="E52" s="159"/>
      <c r="F52" s="159"/>
      <c r="G52" s="159"/>
      <c r="H52" s="159"/>
      <c r="I52" s="159"/>
      <c r="J52" s="160"/>
      <c r="K52" s="160"/>
      <c r="L52" s="159"/>
      <c r="M52" s="161"/>
      <c r="N52" s="159"/>
      <c r="O52" s="159"/>
      <c r="P52" s="162"/>
      <c r="AP52" s="145"/>
    </row>
    <row r="53" spans="1:42" s="163" customFormat="1" ht="66" customHeight="1">
      <c r="A53" s="156"/>
      <c r="B53" s="157">
        <v>48</v>
      </c>
      <c r="C53" s="158"/>
      <c r="D53" s="159"/>
      <c r="E53" s="159"/>
      <c r="F53" s="159"/>
      <c r="G53" s="159"/>
      <c r="H53" s="159"/>
      <c r="I53" s="159"/>
      <c r="J53" s="160"/>
      <c r="K53" s="160"/>
      <c r="L53" s="159"/>
      <c r="M53" s="161"/>
      <c r="N53" s="159"/>
      <c r="O53" s="159"/>
      <c r="P53" s="162"/>
      <c r="AP53" s="145"/>
    </row>
    <row r="54" spans="1:42" s="163" customFormat="1" ht="47.25" customHeight="1">
      <c r="A54" s="156"/>
      <c r="B54" s="157">
        <v>49</v>
      </c>
      <c r="C54" s="158"/>
      <c r="D54" s="159"/>
      <c r="E54" s="159"/>
      <c r="F54" s="159"/>
      <c r="G54" s="159"/>
      <c r="H54" s="159"/>
      <c r="I54" s="159"/>
      <c r="J54" s="160"/>
      <c r="K54" s="160"/>
      <c r="L54" s="159"/>
      <c r="M54" s="161"/>
      <c r="N54" s="159"/>
      <c r="O54" s="159"/>
      <c r="P54" s="162"/>
      <c r="AP54" s="145"/>
    </row>
    <row r="55" spans="1:42" s="163" customFormat="1" ht="47.25" customHeight="1">
      <c r="A55" s="156"/>
      <c r="B55" s="157">
        <v>50</v>
      </c>
      <c r="C55" s="158"/>
      <c r="D55" s="159"/>
      <c r="E55" s="159"/>
      <c r="F55" s="159"/>
      <c r="G55" s="159"/>
      <c r="H55" s="159"/>
      <c r="I55" s="159"/>
      <c r="J55" s="165"/>
      <c r="K55" s="160"/>
      <c r="L55" s="159"/>
      <c r="M55" s="161"/>
      <c r="N55" s="159"/>
      <c r="O55" s="159"/>
      <c r="P55" s="162"/>
      <c r="AP55" s="145"/>
    </row>
    <row r="56" spans="1:42" ht="20.399999999999999">
      <c r="B56" s="157">
        <v>51</v>
      </c>
      <c r="C56" s="158"/>
      <c r="D56" s="159"/>
      <c r="E56" s="159"/>
      <c r="F56" s="159"/>
      <c r="G56" s="159"/>
      <c r="H56" s="159"/>
      <c r="I56" s="159"/>
      <c r="J56" s="167"/>
      <c r="K56" s="160"/>
      <c r="L56" s="159"/>
      <c r="M56" s="168"/>
      <c r="N56" s="161"/>
      <c r="O56" s="159"/>
      <c r="P56" s="159"/>
    </row>
    <row r="57" spans="1:42" ht="20.399999999999999">
      <c r="B57" s="157">
        <v>52</v>
      </c>
      <c r="C57" s="158"/>
      <c r="D57" s="159"/>
      <c r="E57" s="159"/>
      <c r="F57" s="159"/>
      <c r="G57" s="159"/>
      <c r="H57" s="159"/>
      <c r="I57" s="159"/>
      <c r="J57" s="167"/>
      <c r="K57" s="160"/>
      <c r="L57" s="169"/>
      <c r="M57" s="168"/>
      <c r="N57" s="161"/>
      <c r="O57" s="159"/>
      <c r="P57" s="159"/>
    </row>
    <row r="58" spans="1:42" ht="20.399999999999999">
      <c r="B58" s="157">
        <v>53</v>
      </c>
      <c r="C58" s="158"/>
      <c r="D58" s="159"/>
      <c r="E58" s="159"/>
      <c r="F58" s="159"/>
      <c r="G58" s="159"/>
      <c r="H58" s="159"/>
      <c r="I58" s="159"/>
      <c r="J58" s="167"/>
      <c r="K58" s="160"/>
      <c r="L58" s="169"/>
      <c r="M58" s="168"/>
      <c r="N58" s="161"/>
      <c r="O58" s="159"/>
      <c r="P58" s="159"/>
    </row>
    <row r="59" spans="1:42" ht="20.399999999999999">
      <c r="B59" s="157">
        <v>54</v>
      </c>
      <c r="C59" s="158"/>
      <c r="D59" s="159"/>
      <c r="E59" s="159"/>
      <c r="F59" s="159"/>
      <c r="G59" s="159"/>
      <c r="H59" s="159"/>
      <c r="I59" s="159"/>
      <c r="J59" s="167"/>
      <c r="K59" s="160"/>
      <c r="L59" s="169"/>
      <c r="M59" s="168"/>
      <c r="N59" s="161"/>
      <c r="O59" s="159"/>
      <c r="P59" s="159"/>
    </row>
    <row r="60" spans="1:42" ht="20.399999999999999">
      <c r="B60" s="157">
        <v>88</v>
      </c>
    </row>
  </sheetData>
  <autoFilter ref="A5:IJ60" xr:uid="{00000000-0009-0000-0000-000000000000}"/>
  <mergeCells count="2">
    <mergeCell ref="B1:L4"/>
    <mergeCell ref="M1:M4"/>
  </mergeCells>
  <conditionalFormatting sqref="O19:O20 O26:O27 O30:O59 P58:P59 O6:O16">
    <cfRule type="cellIs" dxfId="80" priority="58" operator="equal">
      <formula>"OPEN"</formula>
    </cfRule>
    <cfRule type="cellIs" dxfId="79" priority="59" operator="equal">
      <formula>"WIP"</formula>
    </cfRule>
    <cfRule type="cellIs" dxfId="78" priority="60" operator="equal">
      <formula>"CLOSE"</formula>
    </cfRule>
  </conditionalFormatting>
  <conditionalFormatting sqref="C19:C20 C30:C31 C45:C55 C58:C59 C6:C16">
    <cfRule type="containsText" dxfId="77" priority="55" operator="containsText" text="High">
      <formula>NOT(ISERROR(SEARCH("High",C6)))</formula>
    </cfRule>
    <cfRule type="containsText" dxfId="76" priority="56" operator="containsText" text="Medium">
      <formula>NOT(ISERROR(SEARCH("Medium",C6)))</formula>
    </cfRule>
    <cfRule type="containsText" dxfId="75" priority="57" operator="containsText" text="Low">
      <formula>NOT(ISERROR(SEARCH("Low",C6)))</formula>
    </cfRule>
  </conditionalFormatting>
  <conditionalFormatting sqref="O17:O18">
    <cfRule type="cellIs" dxfId="74" priority="52" operator="equal">
      <formula>"OPEN"</formula>
    </cfRule>
    <cfRule type="cellIs" dxfId="73" priority="53" operator="equal">
      <formula>"WIP"</formula>
    </cfRule>
    <cfRule type="cellIs" dxfId="72" priority="54" operator="equal">
      <formula>"CLOSE"</formula>
    </cfRule>
  </conditionalFormatting>
  <conditionalFormatting sqref="C17:C18">
    <cfRule type="containsText" dxfId="71" priority="49" operator="containsText" text="High">
      <formula>NOT(ISERROR(SEARCH("High",C17)))</formula>
    </cfRule>
    <cfRule type="containsText" dxfId="70" priority="50" operator="containsText" text="Medium">
      <formula>NOT(ISERROR(SEARCH("Medium",C17)))</formula>
    </cfRule>
    <cfRule type="containsText" dxfId="69" priority="51" operator="containsText" text="Low">
      <formula>NOT(ISERROR(SEARCH("Low",C17)))</formula>
    </cfRule>
  </conditionalFormatting>
  <conditionalFormatting sqref="C21">
    <cfRule type="containsText" dxfId="68" priority="46" operator="containsText" text="High">
      <formula>NOT(ISERROR(SEARCH("High",C21)))</formula>
    </cfRule>
    <cfRule type="containsText" dxfId="67" priority="47" operator="containsText" text="Medium">
      <formula>NOT(ISERROR(SEARCH("Medium",C21)))</formula>
    </cfRule>
    <cfRule type="containsText" dxfId="66" priority="48" operator="containsText" text="Low">
      <formula>NOT(ISERROR(SEARCH("Low",C21)))</formula>
    </cfRule>
  </conditionalFormatting>
  <conditionalFormatting sqref="O21">
    <cfRule type="cellIs" dxfId="65" priority="43" operator="equal">
      <formula>"OPEN"</formula>
    </cfRule>
    <cfRule type="cellIs" dxfId="64" priority="44" operator="equal">
      <formula>"WIP"</formula>
    </cfRule>
    <cfRule type="cellIs" dxfId="63" priority="45" operator="equal">
      <formula>"CLOSE"</formula>
    </cfRule>
  </conditionalFormatting>
  <conditionalFormatting sqref="C22">
    <cfRule type="containsText" dxfId="62" priority="40" operator="containsText" text="High">
      <formula>NOT(ISERROR(SEARCH("High",C22)))</formula>
    </cfRule>
    <cfRule type="containsText" dxfId="61" priority="41" operator="containsText" text="Medium">
      <formula>NOT(ISERROR(SEARCH("Medium",C22)))</formula>
    </cfRule>
    <cfRule type="containsText" dxfId="60" priority="42" operator="containsText" text="Low">
      <formula>NOT(ISERROR(SEARCH("Low",C22)))</formula>
    </cfRule>
  </conditionalFormatting>
  <conditionalFormatting sqref="O22">
    <cfRule type="cellIs" dxfId="59" priority="37" operator="equal">
      <formula>"OPEN"</formula>
    </cfRule>
    <cfRule type="cellIs" dxfId="58" priority="38" operator="equal">
      <formula>"WIP"</formula>
    </cfRule>
    <cfRule type="cellIs" dxfId="57" priority="39" operator="equal">
      <formula>"CLOSE"</formula>
    </cfRule>
  </conditionalFormatting>
  <conditionalFormatting sqref="C23">
    <cfRule type="containsText" dxfId="56" priority="34" operator="containsText" text="High">
      <formula>NOT(ISERROR(SEARCH("High",C23)))</formula>
    </cfRule>
    <cfRule type="containsText" dxfId="55" priority="35" operator="containsText" text="Medium">
      <formula>NOT(ISERROR(SEARCH("Medium",C23)))</formula>
    </cfRule>
    <cfRule type="containsText" dxfId="54" priority="36" operator="containsText" text="Low">
      <formula>NOT(ISERROR(SEARCH("Low",C23)))</formula>
    </cfRule>
  </conditionalFormatting>
  <conditionalFormatting sqref="O23:O25">
    <cfRule type="cellIs" dxfId="53" priority="31" operator="equal">
      <formula>"OPEN"</formula>
    </cfRule>
    <cfRule type="cellIs" dxfId="52" priority="32" operator="equal">
      <formula>"WIP"</formula>
    </cfRule>
    <cfRule type="cellIs" dxfId="51" priority="33" operator="equal">
      <formula>"CLOSE"</formula>
    </cfRule>
  </conditionalFormatting>
  <conditionalFormatting sqref="C24:C25">
    <cfRule type="containsText" dxfId="50" priority="28" operator="containsText" text="High">
      <formula>NOT(ISERROR(SEARCH("High",C24)))</formula>
    </cfRule>
    <cfRule type="containsText" dxfId="49" priority="29" operator="containsText" text="Medium">
      <formula>NOT(ISERROR(SEARCH("Medium",C24)))</formula>
    </cfRule>
    <cfRule type="containsText" dxfId="48" priority="30" operator="containsText" text="Low">
      <formula>NOT(ISERROR(SEARCH("Low",C24)))</formula>
    </cfRule>
  </conditionalFormatting>
  <conditionalFormatting sqref="C26">
    <cfRule type="containsText" dxfId="47" priority="25" operator="containsText" text="High">
      <formula>NOT(ISERROR(SEARCH("High",C26)))</formula>
    </cfRule>
    <cfRule type="containsText" dxfId="46" priority="26" operator="containsText" text="Medium">
      <formula>NOT(ISERROR(SEARCH("Medium",C26)))</formula>
    </cfRule>
    <cfRule type="containsText" dxfId="45" priority="27" operator="containsText" text="Low">
      <formula>NOT(ISERROR(SEARCH("Low",C26)))</formula>
    </cfRule>
  </conditionalFormatting>
  <conditionalFormatting sqref="C27">
    <cfRule type="containsText" dxfId="44" priority="22" operator="containsText" text="High">
      <formula>NOT(ISERROR(SEARCH("High",C27)))</formula>
    </cfRule>
    <cfRule type="containsText" dxfId="43" priority="23" operator="containsText" text="Medium">
      <formula>NOT(ISERROR(SEARCH("Medium",C27)))</formula>
    </cfRule>
    <cfRule type="containsText" dxfId="42" priority="24" operator="containsText" text="Low">
      <formula>NOT(ISERROR(SEARCH("Low",C27)))</formula>
    </cfRule>
  </conditionalFormatting>
  <conditionalFormatting sqref="C28">
    <cfRule type="containsText" dxfId="41" priority="19" operator="containsText" text="High">
      <formula>NOT(ISERROR(SEARCH("High",C28)))</formula>
    </cfRule>
    <cfRule type="containsText" dxfId="40" priority="20" operator="containsText" text="Medium">
      <formula>NOT(ISERROR(SEARCH("Medium",C28)))</formula>
    </cfRule>
    <cfRule type="containsText" dxfId="39" priority="21" operator="containsText" text="Low">
      <formula>NOT(ISERROR(SEARCH("Low",C28)))</formula>
    </cfRule>
  </conditionalFormatting>
  <conditionalFormatting sqref="O28">
    <cfRule type="cellIs" dxfId="38" priority="16" operator="equal">
      <formula>"OPEN"</formula>
    </cfRule>
    <cfRule type="cellIs" dxfId="37" priority="17" operator="equal">
      <formula>"WIP"</formula>
    </cfRule>
    <cfRule type="cellIs" dxfId="36" priority="18" operator="equal">
      <formula>"CLOSE"</formula>
    </cfRule>
  </conditionalFormatting>
  <conditionalFormatting sqref="C29">
    <cfRule type="containsText" dxfId="35" priority="13" operator="containsText" text="High">
      <formula>NOT(ISERROR(SEARCH("High",C29)))</formula>
    </cfRule>
    <cfRule type="containsText" dxfId="34" priority="14" operator="containsText" text="Medium">
      <formula>NOT(ISERROR(SEARCH("Medium",C29)))</formula>
    </cfRule>
    <cfRule type="containsText" dxfId="33" priority="15" operator="containsText" text="Low">
      <formula>NOT(ISERROR(SEARCH("Low",C29)))</formula>
    </cfRule>
  </conditionalFormatting>
  <conditionalFormatting sqref="O29">
    <cfRule type="cellIs" dxfId="32" priority="10" operator="equal">
      <formula>"OPEN"</formula>
    </cfRule>
    <cfRule type="cellIs" dxfId="31" priority="11" operator="equal">
      <formula>"WIP"</formula>
    </cfRule>
    <cfRule type="cellIs" dxfId="30" priority="12" operator="equal">
      <formula>"CLOSE"</formula>
    </cfRule>
  </conditionalFormatting>
  <conditionalFormatting sqref="C32:C44">
    <cfRule type="containsText" dxfId="29" priority="7" operator="containsText" text="High">
      <formula>NOT(ISERROR(SEARCH("High",C32)))</formula>
    </cfRule>
    <cfRule type="containsText" dxfId="28" priority="8" operator="containsText" text="Medium">
      <formula>NOT(ISERROR(SEARCH("Medium",C32)))</formula>
    </cfRule>
    <cfRule type="containsText" dxfId="27" priority="9" operator="containsText" text="Low">
      <formula>NOT(ISERROR(SEARCH("Low",C32)))</formula>
    </cfRule>
  </conditionalFormatting>
  <conditionalFormatting sqref="P56:P57">
    <cfRule type="cellIs" dxfId="26" priority="4" operator="equal">
      <formula>"OPEN"</formula>
    </cfRule>
    <cfRule type="cellIs" dxfId="25" priority="5" operator="equal">
      <formula>"WIP"</formula>
    </cfRule>
    <cfRule type="cellIs" dxfId="24" priority="6" operator="equal">
      <formula>"CLOSE"</formula>
    </cfRule>
  </conditionalFormatting>
  <conditionalFormatting sqref="C56:C57">
    <cfRule type="containsText" dxfId="23" priority="1" operator="containsText" text="High">
      <formula>NOT(ISERROR(SEARCH("High",C56)))</formula>
    </cfRule>
    <cfRule type="containsText" dxfId="22" priority="2" operator="containsText" text="Medium">
      <formula>NOT(ISERROR(SEARCH("Medium",C56)))</formula>
    </cfRule>
    <cfRule type="containsText" dxfId="21" priority="3" operator="containsText" text="Low">
      <formula>NOT(ISERROR(SEARCH("Low",C56)))</formula>
    </cfRule>
  </conditionalFormatting>
  <dataValidations count="3">
    <dataValidation type="list" allowBlank="1" showInputMessage="1" showErrorMessage="1" sqref="O14:O1048576 O6:O13" xr:uid="{61E1E659-DE86-433E-A8F4-0D813970CAC1}">
      <formula1>"Open, WIP, Close"</formula1>
    </dataValidation>
    <dataValidation type="list" allowBlank="1" showInputMessage="1" showErrorMessage="1" sqref="D14:D1048576 D6:D13" xr:uid="{36F8D849-5045-4799-B4C7-FEBA04423463}">
      <formula1>$AB$7:$AB$11</formula1>
    </dataValidation>
    <dataValidation type="list" allowBlank="1" showInputMessage="1" showErrorMessage="1" sqref="C14:C1048576 C6:C13" xr:uid="{1C194428-E2AD-476E-83DE-97C4963908EE}">
      <formula1>$Y$7:$Y$10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O88"/>
  <sheetViews>
    <sheetView showGridLines="0" showRuler="0" zoomScale="85" zoomScaleNormal="85" zoomScalePageLayoutView="70" workbookViewId="0">
      <pane xSplit="10" ySplit="6" topLeftCell="K35" activePane="bottomRight" state="frozen"/>
      <selection pane="topRight" activeCell="J1" sqref="J1"/>
      <selection pane="bottomLeft" activeCell="A8" sqref="A8"/>
      <selection pane="bottomRight" activeCell="G13" sqref="G13"/>
    </sheetView>
  </sheetViews>
  <sheetFormatPr defaultColWidth="9.109375" defaultRowHeight="14.4"/>
  <cols>
    <col min="1" max="1" width="11.33203125" style="5" bestFit="1" customWidth="1"/>
    <col min="2" max="2" width="9.109375" style="5" bestFit="1" customWidth="1"/>
    <col min="3" max="3" width="38.88671875" style="5" customWidth="1"/>
    <col min="4" max="4" width="16.44140625" style="5" customWidth="1"/>
    <col min="5" max="5" width="14.33203125" style="5" customWidth="1"/>
    <col min="6" max="6" width="14.44140625" style="11" customWidth="1"/>
    <col min="7" max="7" width="14.44140625" style="5" customWidth="1"/>
    <col min="8" max="8" width="15.109375" style="5" customWidth="1"/>
    <col min="9" max="9" width="2.6640625" style="5" customWidth="1"/>
    <col min="10" max="10" width="5.44140625" style="5" customWidth="1"/>
    <col min="11" max="11" width="2.88671875" style="5" bestFit="1" customWidth="1"/>
    <col min="12" max="17" width="3.109375" style="5" bestFit="1" customWidth="1"/>
    <col min="18" max="37" width="2.44140625" style="5" customWidth="1"/>
    <col min="38" max="38" width="3" style="5" bestFit="1" customWidth="1"/>
    <col min="39" max="39" width="3.109375" style="5" bestFit="1" customWidth="1"/>
    <col min="40" max="40" width="3.44140625" style="5" bestFit="1" customWidth="1"/>
    <col min="41" max="44" width="2.44140625" style="5" customWidth="1"/>
    <col min="45" max="45" width="3" style="5" bestFit="1" customWidth="1"/>
    <col min="46" max="226" width="2.44140625" style="5" customWidth="1"/>
    <col min="227" max="227" width="2.6640625" style="5" customWidth="1"/>
    <col min="228" max="233" width="2.44140625" style="5" customWidth="1"/>
    <col min="234" max="234" width="2.6640625" style="5" customWidth="1"/>
    <col min="235" max="240" width="2.44140625" style="5" customWidth="1"/>
    <col min="241" max="241" width="2.6640625" style="5" customWidth="1"/>
    <col min="242" max="247" width="2.44140625" style="5" customWidth="1"/>
    <col min="248" max="248" width="2.6640625" style="5" customWidth="1"/>
    <col min="249" max="261" width="2.44140625" style="5" customWidth="1"/>
    <col min="262" max="262" width="3" style="5" bestFit="1" customWidth="1"/>
    <col min="263" max="268" width="2.44140625" style="5" customWidth="1"/>
    <col min="269" max="269" width="3" style="5" bestFit="1" customWidth="1"/>
    <col min="270" max="445" width="2.44140625" style="5" customWidth="1"/>
    <col min="446" max="16384" width="9.109375" style="5"/>
  </cols>
  <sheetData>
    <row r="1" spans="1:353" ht="46.5" customHeight="1" thickBot="1">
      <c r="A1" s="1"/>
      <c r="B1" s="2"/>
      <c r="C1" s="3"/>
      <c r="D1" s="4"/>
      <c r="E1" s="84"/>
      <c r="F1" s="85"/>
      <c r="G1" s="86"/>
      <c r="H1" s="86"/>
      <c r="I1" s="2"/>
      <c r="J1" s="84"/>
      <c r="K1" s="250" t="s">
        <v>46</v>
      </c>
      <c r="L1" s="251"/>
      <c r="M1" s="251"/>
      <c r="N1" s="251"/>
      <c r="O1" s="251"/>
      <c r="P1" s="251"/>
      <c r="Q1" s="251"/>
      <c r="R1" s="251"/>
      <c r="S1" s="251"/>
      <c r="T1" s="252"/>
      <c r="U1" s="38"/>
      <c r="V1" s="38"/>
      <c r="W1" s="38"/>
      <c r="X1" s="38"/>
      <c r="Y1" s="38"/>
      <c r="Z1" s="38"/>
      <c r="AA1" s="38"/>
      <c r="AB1" s="38"/>
      <c r="AC1" s="38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</row>
    <row r="2" spans="1:353" ht="19.5" customHeight="1">
      <c r="A2" s="39" t="s">
        <v>47</v>
      </c>
      <c r="B2" s="40"/>
      <c r="C2" s="40"/>
      <c r="D2" s="40"/>
      <c r="E2" s="7" t="s">
        <v>48</v>
      </c>
      <c r="F2" s="206">
        <v>45867</v>
      </c>
      <c r="G2" s="207"/>
      <c r="H2" s="8"/>
      <c r="K2" s="213" t="s">
        <v>49</v>
      </c>
      <c r="L2" s="214"/>
      <c r="M2" s="214"/>
      <c r="N2" s="214"/>
      <c r="O2" s="214"/>
      <c r="P2" s="217" t="s">
        <v>50</v>
      </c>
      <c r="Q2" s="218"/>
      <c r="R2" s="218"/>
      <c r="S2" s="218"/>
      <c r="T2" s="219"/>
    </row>
    <row r="3" spans="1:353" ht="19.5" customHeight="1" thickBot="1">
      <c r="A3" s="6" t="s">
        <v>51</v>
      </c>
      <c r="E3" s="7" t="s">
        <v>52</v>
      </c>
      <c r="F3" s="208">
        <f ca="1">TODAY()</f>
        <v>45882</v>
      </c>
      <c r="G3" s="209"/>
      <c r="H3" s="8"/>
      <c r="K3" s="215" t="s">
        <v>53</v>
      </c>
      <c r="L3" s="216"/>
      <c r="M3" s="216"/>
      <c r="N3" s="216"/>
      <c r="O3" s="216"/>
      <c r="P3" s="220" t="s">
        <v>54</v>
      </c>
      <c r="Q3" s="221"/>
      <c r="R3" s="221"/>
      <c r="S3" s="221"/>
      <c r="T3" s="222"/>
    </row>
    <row r="4" spans="1:353" ht="19.5" customHeight="1">
      <c r="A4" s="6" t="s">
        <v>55</v>
      </c>
      <c r="E4" s="7" t="s">
        <v>56</v>
      </c>
      <c r="F4" s="9">
        <v>1</v>
      </c>
      <c r="K4" s="210">
        <f>F2</f>
        <v>45867</v>
      </c>
      <c r="L4" s="211"/>
      <c r="M4" s="211"/>
      <c r="N4" s="211"/>
      <c r="O4" s="211"/>
      <c r="P4" s="211"/>
      <c r="Q4" s="212"/>
      <c r="R4" s="210">
        <f>K4+7</f>
        <v>45874</v>
      </c>
      <c r="S4" s="211"/>
      <c r="T4" s="211"/>
      <c r="U4" s="223"/>
      <c r="V4" s="223"/>
      <c r="W4" s="223"/>
      <c r="X4" s="224"/>
      <c r="Y4" s="225">
        <f>R4+7</f>
        <v>45881</v>
      </c>
      <c r="Z4" s="223"/>
      <c r="AA4" s="223"/>
      <c r="AB4" s="223"/>
      <c r="AC4" s="223"/>
      <c r="AD4" s="223"/>
      <c r="AE4" s="224"/>
      <c r="AF4" s="225">
        <f t="shared" ref="AF4" si="0">Y4+7</f>
        <v>45888</v>
      </c>
      <c r="AG4" s="223"/>
      <c r="AH4" s="223"/>
      <c r="AI4" s="223"/>
      <c r="AJ4" s="223"/>
      <c r="AK4" s="223"/>
      <c r="AL4" s="224"/>
      <c r="AM4" s="225">
        <f t="shared" ref="AM4" si="1">AF4+7</f>
        <v>45895</v>
      </c>
      <c r="AN4" s="223"/>
      <c r="AO4" s="223"/>
      <c r="AP4" s="223"/>
      <c r="AQ4" s="223"/>
      <c r="AR4" s="223"/>
      <c r="AS4" s="224"/>
      <c r="AT4" s="225">
        <f>AM4+7</f>
        <v>45902</v>
      </c>
      <c r="AU4" s="223"/>
      <c r="AV4" s="223"/>
      <c r="AW4" s="223"/>
      <c r="AX4" s="223"/>
      <c r="AY4" s="223"/>
      <c r="AZ4" s="224"/>
      <c r="BA4" s="225">
        <f t="shared" ref="BA4" si="2">AT4+7</f>
        <v>45909</v>
      </c>
      <c r="BB4" s="223"/>
      <c r="BC4" s="223"/>
      <c r="BD4" s="223"/>
      <c r="BE4" s="223"/>
      <c r="BF4" s="223"/>
      <c r="BG4" s="224"/>
      <c r="BH4" s="225">
        <f t="shared" ref="BH4" si="3">BA4+7</f>
        <v>45916</v>
      </c>
      <c r="BI4" s="223"/>
      <c r="BJ4" s="223"/>
      <c r="BK4" s="223"/>
      <c r="BL4" s="223"/>
      <c r="BM4" s="223"/>
      <c r="BN4" s="224"/>
      <c r="BO4" s="225">
        <f t="shared" ref="BO4" si="4">BH4+7</f>
        <v>45923</v>
      </c>
      <c r="BP4" s="223"/>
      <c r="BQ4" s="223"/>
      <c r="BR4" s="223"/>
      <c r="BS4" s="223"/>
      <c r="BT4" s="223"/>
      <c r="BU4" s="224"/>
      <c r="BV4" s="225">
        <f t="shared" ref="BV4" si="5">BO4+7</f>
        <v>45930</v>
      </c>
      <c r="BW4" s="223"/>
      <c r="BX4" s="223"/>
      <c r="BY4" s="223"/>
      <c r="BZ4" s="223"/>
      <c r="CA4" s="223"/>
      <c r="CB4" s="224"/>
      <c r="CC4" s="225">
        <f t="shared" ref="CC4" si="6">BV4+7</f>
        <v>45937</v>
      </c>
      <c r="CD4" s="223"/>
      <c r="CE4" s="223"/>
      <c r="CF4" s="223"/>
      <c r="CG4" s="223"/>
      <c r="CH4" s="223"/>
      <c r="CI4" s="224"/>
      <c r="CJ4" s="225">
        <f t="shared" ref="CJ4" si="7">CC4+7</f>
        <v>45944</v>
      </c>
      <c r="CK4" s="223"/>
      <c r="CL4" s="223"/>
      <c r="CM4" s="223"/>
      <c r="CN4" s="223"/>
      <c r="CO4" s="223"/>
      <c r="CP4" s="224"/>
      <c r="CQ4" s="225">
        <f t="shared" ref="CQ4" si="8">CJ4+7</f>
        <v>45951</v>
      </c>
      <c r="CR4" s="223"/>
      <c r="CS4" s="223"/>
      <c r="CT4" s="223"/>
      <c r="CU4" s="223"/>
      <c r="CV4" s="223"/>
      <c r="CW4" s="224"/>
      <c r="CX4" s="225">
        <f t="shared" ref="CX4" si="9">CQ4+7</f>
        <v>45958</v>
      </c>
      <c r="CY4" s="223"/>
      <c r="CZ4" s="223"/>
      <c r="DA4" s="223"/>
      <c r="DB4" s="223"/>
      <c r="DC4" s="223"/>
      <c r="DD4" s="224"/>
      <c r="DE4" s="225">
        <f t="shared" ref="DE4" si="10">CX4+7</f>
        <v>45965</v>
      </c>
      <c r="DF4" s="223"/>
      <c r="DG4" s="223"/>
      <c r="DH4" s="223"/>
      <c r="DI4" s="223"/>
      <c r="DJ4" s="223"/>
      <c r="DK4" s="224"/>
      <c r="DL4" s="225">
        <f>DE4+7</f>
        <v>45972</v>
      </c>
      <c r="DM4" s="223"/>
      <c r="DN4" s="223"/>
      <c r="DO4" s="223"/>
      <c r="DP4" s="223"/>
      <c r="DQ4" s="223"/>
      <c r="DR4" s="224"/>
      <c r="DS4" s="225">
        <f>DL4+7</f>
        <v>45979</v>
      </c>
      <c r="DT4" s="223"/>
      <c r="DU4" s="223"/>
      <c r="DV4" s="223"/>
      <c r="DW4" s="223"/>
      <c r="DX4" s="223"/>
      <c r="DY4" s="224"/>
      <c r="DZ4" s="225">
        <f t="shared" ref="DZ4" si="11">DS4+7</f>
        <v>45986</v>
      </c>
      <c r="EA4" s="223"/>
      <c r="EB4" s="223"/>
      <c r="EC4" s="223"/>
      <c r="ED4" s="223"/>
      <c r="EE4" s="223"/>
      <c r="EF4" s="224"/>
      <c r="EG4" s="225">
        <f t="shared" ref="EG4" si="12">DZ4+7</f>
        <v>45993</v>
      </c>
      <c r="EH4" s="223"/>
      <c r="EI4" s="223"/>
      <c r="EJ4" s="223"/>
      <c r="EK4" s="223"/>
      <c r="EL4" s="223"/>
      <c r="EM4" s="224"/>
      <c r="EN4" s="225">
        <f t="shared" ref="EN4" si="13">EG4+7</f>
        <v>46000</v>
      </c>
      <c r="EO4" s="223"/>
      <c r="EP4" s="223"/>
      <c r="EQ4" s="223"/>
      <c r="ER4" s="223"/>
      <c r="ES4" s="223"/>
      <c r="ET4" s="224"/>
      <c r="EU4" s="225">
        <f t="shared" ref="EU4" si="14">EN4+7</f>
        <v>46007</v>
      </c>
      <c r="EV4" s="223"/>
      <c r="EW4" s="223"/>
      <c r="EX4" s="223"/>
      <c r="EY4" s="223"/>
      <c r="EZ4" s="223"/>
      <c r="FA4" s="224"/>
      <c r="FB4" s="225">
        <f t="shared" ref="FB4" si="15">EU4+7</f>
        <v>46014</v>
      </c>
      <c r="FC4" s="223"/>
      <c r="FD4" s="223"/>
      <c r="FE4" s="223"/>
      <c r="FF4" s="223"/>
      <c r="FG4" s="223"/>
      <c r="FH4" s="224"/>
      <c r="FI4" s="225">
        <f t="shared" ref="FI4" si="16">FB4+7</f>
        <v>46021</v>
      </c>
      <c r="FJ4" s="223"/>
      <c r="FK4" s="223"/>
      <c r="FL4" s="223"/>
      <c r="FM4" s="223"/>
      <c r="FN4" s="223"/>
      <c r="FO4" s="224"/>
      <c r="FP4" s="225">
        <f t="shared" ref="FP4" si="17">FI4+7</f>
        <v>46028</v>
      </c>
      <c r="FQ4" s="223"/>
      <c r="FR4" s="223"/>
      <c r="FS4" s="223"/>
      <c r="FT4" s="223"/>
      <c r="FU4" s="223"/>
      <c r="FV4" s="224"/>
      <c r="FW4" s="225">
        <f t="shared" ref="FW4" si="18">FP4+7</f>
        <v>46035</v>
      </c>
      <c r="FX4" s="223"/>
      <c r="FY4" s="223"/>
      <c r="FZ4" s="223"/>
      <c r="GA4" s="223"/>
      <c r="GB4" s="223"/>
      <c r="GC4" s="224"/>
      <c r="GD4" s="225">
        <f t="shared" ref="GD4" si="19">FW4+7</f>
        <v>46042</v>
      </c>
      <c r="GE4" s="223"/>
      <c r="GF4" s="223"/>
      <c r="GG4" s="223"/>
      <c r="GH4" s="223"/>
      <c r="GI4" s="223"/>
      <c r="GJ4" s="224"/>
      <c r="GK4" s="225">
        <f t="shared" ref="GK4" si="20">GD4+7</f>
        <v>46049</v>
      </c>
      <c r="GL4" s="223"/>
      <c r="GM4" s="223"/>
      <c r="GN4" s="223"/>
      <c r="GO4" s="223"/>
      <c r="GP4" s="223"/>
      <c r="GQ4" s="224"/>
      <c r="GR4" s="225">
        <f t="shared" ref="GR4" si="21">GK4+7</f>
        <v>46056</v>
      </c>
      <c r="GS4" s="223"/>
      <c r="GT4" s="223"/>
      <c r="GU4" s="223"/>
      <c r="GV4" s="223"/>
      <c r="GW4" s="223"/>
      <c r="GX4" s="224"/>
      <c r="GY4" s="225">
        <f t="shared" ref="GY4" si="22">GR4+7</f>
        <v>46063</v>
      </c>
      <c r="GZ4" s="223"/>
      <c r="HA4" s="223"/>
      <c r="HB4" s="223"/>
      <c r="HC4" s="223"/>
      <c r="HD4" s="223"/>
      <c r="HE4" s="224"/>
      <c r="HF4" s="225">
        <f t="shared" ref="HF4" si="23">GY4+7</f>
        <v>46070</v>
      </c>
      <c r="HG4" s="223"/>
      <c r="HH4" s="223"/>
      <c r="HI4" s="223"/>
      <c r="HJ4" s="223"/>
      <c r="HK4" s="223"/>
      <c r="HL4" s="224"/>
      <c r="HM4" s="225">
        <f t="shared" ref="HM4" si="24">HF4+7</f>
        <v>46077</v>
      </c>
      <c r="HN4" s="223"/>
      <c r="HO4" s="223"/>
      <c r="HP4" s="223"/>
      <c r="HQ4" s="223"/>
      <c r="HR4" s="223"/>
      <c r="HS4" s="224"/>
      <c r="HT4" s="225">
        <f t="shared" ref="HT4" si="25">HM4+7</f>
        <v>46084</v>
      </c>
      <c r="HU4" s="223"/>
      <c r="HV4" s="223"/>
      <c r="HW4" s="223"/>
      <c r="HX4" s="223"/>
      <c r="HY4" s="223"/>
      <c r="HZ4" s="224"/>
      <c r="IA4" s="225">
        <f t="shared" ref="IA4" si="26">HT4+7</f>
        <v>46091</v>
      </c>
      <c r="IB4" s="223"/>
      <c r="IC4" s="223"/>
      <c r="ID4" s="223"/>
      <c r="IE4" s="223"/>
      <c r="IF4" s="223"/>
      <c r="IG4" s="224"/>
      <c r="IH4" s="225">
        <f t="shared" ref="IH4" si="27">IA4+7</f>
        <v>46098</v>
      </c>
      <c r="II4" s="223"/>
      <c r="IJ4" s="223"/>
      <c r="IK4" s="223"/>
      <c r="IL4" s="223"/>
      <c r="IM4" s="223"/>
      <c r="IN4" s="224"/>
      <c r="IO4" s="225">
        <f>IH4+7</f>
        <v>46105</v>
      </c>
      <c r="IP4" s="223"/>
      <c r="IQ4" s="223"/>
      <c r="IR4" s="223"/>
      <c r="IS4" s="223"/>
      <c r="IT4" s="223"/>
      <c r="IU4" s="224"/>
      <c r="IV4" s="225">
        <f t="shared" ref="IV4" si="28">IO4+7</f>
        <v>46112</v>
      </c>
      <c r="IW4" s="223"/>
      <c r="IX4" s="223"/>
      <c r="IY4" s="223"/>
      <c r="IZ4" s="223"/>
      <c r="JA4" s="223"/>
      <c r="JB4" s="224"/>
      <c r="JC4" s="225">
        <f t="shared" ref="JC4" si="29">IV4+7</f>
        <v>46119</v>
      </c>
      <c r="JD4" s="223"/>
      <c r="JE4" s="223"/>
      <c r="JF4" s="223"/>
      <c r="JG4" s="223"/>
      <c r="JH4" s="223"/>
      <c r="JI4" s="224"/>
      <c r="JJ4" s="225">
        <f>JC4+7</f>
        <v>46126</v>
      </c>
      <c r="JK4" s="223"/>
      <c r="JL4" s="223"/>
      <c r="JM4" s="223"/>
      <c r="JN4" s="223"/>
      <c r="JO4" s="223"/>
      <c r="JP4" s="224"/>
      <c r="JQ4" s="225">
        <f t="shared" ref="JQ4" si="30">JJ4+7</f>
        <v>46133</v>
      </c>
      <c r="JR4" s="223"/>
      <c r="JS4" s="223"/>
      <c r="JT4" s="223"/>
      <c r="JU4" s="223"/>
      <c r="JV4" s="223"/>
      <c r="JW4" s="224"/>
      <c r="JX4" s="225">
        <f t="shared" ref="JX4" si="31">JQ4+7</f>
        <v>46140</v>
      </c>
      <c r="JY4" s="223"/>
      <c r="JZ4" s="223"/>
      <c r="KA4" s="223"/>
      <c r="KB4" s="223"/>
      <c r="KC4" s="223"/>
      <c r="KD4" s="224"/>
      <c r="KE4" s="225">
        <f t="shared" ref="KE4" si="32">JX4+7</f>
        <v>46147</v>
      </c>
      <c r="KF4" s="223"/>
      <c r="KG4" s="223"/>
      <c r="KH4" s="223"/>
      <c r="KI4" s="223"/>
      <c r="KJ4" s="223"/>
      <c r="KK4" s="224"/>
      <c r="KL4" s="225">
        <f t="shared" ref="KL4" si="33">KE4+7</f>
        <v>46154</v>
      </c>
      <c r="KM4" s="223"/>
      <c r="KN4" s="223"/>
      <c r="KO4" s="223"/>
      <c r="KP4" s="223"/>
      <c r="KQ4" s="223"/>
      <c r="KR4" s="224"/>
      <c r="KS4" s="225">
        <f t="shared" ref="KS4" si="34">KL4+7</f>
        <v>46161</v>
      </c>
      <c r="KT4" s="223"/>
      <c r="KU4" s="223"/>
      <c r="KV4" s="223"/>
      <c r="KW4" s="223"/>
      <c r="KX4" s="223"/>
      <c r="KY4" s="224"/>
      <c r="KZ4" s="225">
        <f t="shared" ref="KZ4" si="35">KS4+7</f>
        <v>46168</v>
      </c>
      <c r="LA4" s="223"/>
      <c r="LB4" s="223"/>
      <c r="LC4" s="223"/>
      <c r="LD4" s="223"/>
      <c r="LE4" s="223"/>
      <c r="LF4" s="224"/>
      <c r="LG4" s="225">
        <f t="shared" ref="LG4" si="36">KZ4+7</f>
        <v>46175</v>
      </c>
      <c r="LH4" s="223"/>
      <c r="LI4" s="223"/>
      <c r="LJ4" s="223"/>
      <c r="LK4" s="223"/>
      <c r="LL4" s="223"/>
      <c r="LM4" s="224"/>
      <c r="LN4" s="225">
        <f t="shared" ref="LN4" si="37">LG4+7</f>
        <v>46182</v>
      </c>
      <c r="LO4" s="223"/>
      <c r="LP4" s="223"/>
      <c r="LQ4" s="223"/>
      <c r="LR4" s="223"/>
      <c r="LS4" s="223"/>
      <c r="LT4" s="224"/>
      <c r="LU4" s="225">
        <f t="shared" ref="LU4" si="38">LN4+7</f>
        <v>46189</v>
      </c>
      <c r="LV4" s="223"/>
      <c r="LW4" s="223"/>
      <c r="LX4" s="223"/>
      <c r="LY4" s="223"/>
      <c r="LZ4" s="223"/>
      <c r="MA4" s="224"/>
      <c r="MB4" s="225">
        <f>LU4+7</f>
        <v>46196</v>
      </c>
      <c r="MC4" s="223"/>
      <c r="MD4" s="223"/>
      <c r="ME4" s="223"/>
      <c r="MF4" s="223"/>
      <c r="MG4" s="223"/>
      <c r="MH4" s="224"/>
      <c r="MI4" s="223"/>
      <c r="MJ4" s="223"/>
      <c r="MK4" s="223"/>
      <c r="ML4" s="223"/>
      <c r="MM4" s="223"/>
      <c r="MN4" s="223"/>
      <c r="MO4" s="224"/>
    </row>
    <row r="5" spans="1:353" ht="15" thickBot="1">
      <c r="A5" s="10"/>
      <c r="B5" s="7"/>
      <c r="I5" s="7"/>
      <c r="K5" s="12">
        <f>F2-WEEKDAY(F2,1)+2+7*(F4-1)</f>
        <v>45866</v>
      </c>
      <c r="L5" s="13">
        <f>K5+1</f>
        <v>45867</v>
      </c>
      <c r="M5" s="13">
        <f t="shared" ref="M5:AZ5" si="39">L5+1</f>
        <v>45868</v>
      </c>
      <c r="N5" s="13">
        <f t="shared" si="39"/>
        <v>45869</v>
      </c>
      <c r="O5" s="13">
        <f t="shared" si="39"/>
        <v>45870</v>
      </c>
      <c r="P5" s="13">
        <f t="shared" si="39"/>
        <v>45871</v>
      </c>
      <c r="Q5" s="14">
        <f t="shared" si="39"/>
        <v>45872</v>
      </c>
      <c r="R5" s="12">
        <f>Q5+1</f>
        <v>45873</v>
      </c>
      <c r="S5" s="13">
        <f>R5+1</f>
        <v>45874</v>
      </c>
      <c r="T5" s="13">
        <f t="shared" si="39"/>
        <v>45875</v>
      </c>
      <c r="U5" s="13">
        <f t="shared" si="39"/>
        <v>45876</v>
      </c>
      <c r="V5" s="13">
        <f t="shared" si="39"/>
        <v>45877</v>
      </c>
      <c r="W5" s="13">
        <f t="shared" si="39"/>
        <v>45878</v>
      </c>
      <c r="X5" s="14">
        <f t="shared" si="39"/>
        <v>45879</v>
      </c>
      <c r="Y5" s="12">
        <f>X5+1</f>
        <v>45880</v>
      </c>
      <c r="Z5" s="13">
        <f>Y5+1</f>
        <v>45881</v>
      </c>
      <c r="AA5" s="13">
        <f t="shared" si="39"/>
        <v>45882</v>
      </c>
      <c r="AB5" s="13">
        <f t="shared" si="39"/>
        <v>45883</v>
      </c>
      <c r="AC5" s="13">
        <f t="shared" si="39"/>
        <v>45884</v>
      </c>
      <c r="AD5" s="13">
        <f t="shared" si="39"/>
        <v>45885</v>
      </c>
      <c r="AE5" s="14">
        <f t="shared" si="39"/>
        <v>45886</v>
      </c>
      <c r="AF5" s="12">
        <f>AE5+1</f>
        <v>45887</v>
      </c>
      <c r="AG5" s="13">
        <f>AF5+1</f>
        <v>45888</v>
      </c>
      <c r="AH5" s="13">
        <f t="shared" si="39"/>
        <v>45889</v>
      </c>
      <c r="AI5" s="13">
        <f t="shared" si="39"/>
        <v>45890</v>
      </c>
      <c r="AJ5" s="13">
        <f t="shared" si="39"/>
        <v>45891</v>
      </c>
      <c r="AK5" s="13">
        <f t="shared" si="39"/>
        <v>45892</v>
      </c>
      <c r="AL5" s="14">
        <f t="shared" si="39"/>
        <v>45893</v>
      </c>
      <c r="AM5" s="12">
        <f>AL5+1</f>
        <v>45894</v>
      </c>
      <c r="AN5" s="13">
        <f>AM5+1</f>
        <v>45895</v>
      </c>
      <c r="AO5" s="13">
        <f t="shared" si="39"/>
        <v>45896</v>
      </c>
      <c r="AP5" s="13">
        <f t="shared" si="39"/>
        <v>45897</v>
      </c>
      <c r="AQ5" s="13">
        <f t="shared" si="39"/>
        <v>45898</v>
      </c>
      <c r="AR5" s="13">
        <f>AQ5+1</f>
        <v>45899</v>
      </c>
      <c r="AS5" s="14">
        <f t="shared" si="39"/>
        <v>45900</v>
      </c>
      <c r="AT5" s="12">
        <f>AS5+1</f>
        <v>45901</v>
      </c>
      <c r="AU5" s="13">
        <f>AT5+1</f>
        <v>45902</v>
      </c>
      <c r="AV5" s="13">
        <f t="shared" si="39"/>
        <v>45903</v>
      </c>
      <c r="AW5" s="13">
        <f t="shared" si="39"/>
        <v>45904</v>
      </c>
      <c r="AX5" s="13">
        <f t="shared" si="39"/>
        <v>45905</v>
      </c>
      <c r="AY5" s="13">
        <f t="shared" si="39"/>
        <v>45906</v>
      </c>
      <c r="AZ5" s="14">
        <f t="shared" si="39"/>
        <v>45907</v>
      </c>
      <c r="BA5" s="12">
        <f>AZ5+1</f>
        <v>45908</v>
      </c>
      <c r="BB5" s="13">
        <f>BA5+1</f>
        <v>45909</v>
      </c>
      <c r="BC5" s="13">
        <f t="shared" ref="BC5:BG5" si="40">BB5+1</f>
        <v>45910</v>
      </c>
      <c r="BD5" s="13">
        <f t="shared" si="40"/>
        <v>45911</v>
      </c>
      <c r="BE5" s="13">
        <f t="shared" si="40"/>
        <v>45912</v>
      </c>
      <c r="BF5" s="13">
        <f t="shared" si="40"/>
        <v>45913</v>
      </c>
      <c r="BG5" s="14">
        <f t="shared" si="40"/>
        <v>45914</v>
      </c>
      <c r="BH5" s="12">
        <f>BG5+1</f>
        <v>45915</v>
      </c>
      <c r="BI5" s="13">
        <f>BH5+1</f>
        <v>45916</v>
      </c>
      <c r="BJ5" s="13">
        <f t="shared" ref="BJ5:BN5" si="41">BI5+1</f>
        <v>45917</v>
      </c>
      <c r="BK5" s="13">
        <f t="shared" si="41"/>
        <v>45918</v>
      </c>
      <c r="BL5" s="13">
        <f t="shared" si="41"/>
        <v>45919</v>
      </c>
      <c r="BM5" s="13">
        <f t="shared" si="41"/>
        <v>45920</v>
      </c>
      <c r="BN5" s="14">
        <f t="shared" si="41"/>
        <v>45921</v>
      </c>
      <c r="BO5" s="12">
        <f>BN5+1</f>
        <v>45922</v>
      </c>
      <c r="BP5" s="13">
        <f>BO5+1</f>
        <v>45923</v>
      </c>
      <c r="BQ5" s="13">
        <f t="shared" ref="BQ5:BU5" si="42">BP5+1</f>
        <v>45924</v>
      </c>
      <c r="BR5" s="13">
        <f t="shared" si="42"/>
        <v>45925</v>
      </c>
      <c r="BS5" s="13">
        <f t="shared" si="42"/>
        <v>45926</v>
      </c>
      <c r="BT5" s="13">
        <f t="shared" si="42"/>
        <v>45927</v>
      </c>
      <c r="BU5" s="14">
        <f t="shared" si="42"/>
        <v>45928</v>
      </c>
      <c r="BV5" s="12">
        <f>BU5+1</f>
        <v>45929</v>
      </c>
      <c r="BW5" s="13">
        <f>BV5+1</f>
        <v>45930</v>
      </c>
      <c r="BX5" s="13">
        <f t="shared" ref="BX5:CB5" si="43">BW5+1</f>
        <v>45931</v>
      </c>
      <c r="BY5" s="13">
        <f t="shared" si="43"/>
        <v>45932</v>
      </c>
      <c r="BZ5" s="13">
        <f t="shared" si="43"/>
        <v>45933</v>
      </c>
      <c r="CA5" s="13">
        <f t="shared" si="43"/>
        <v>45934</v>
      </c>
      <c r="CB5" s="14">
        <f t="shared" si="43"/>
        <v>45935</v>
      </c>
      <c r="CC5" s="12">
        <f>CB5+1</f>
        <v>45936</v>
      </c>
      <c r="CD5" s="13">
        <f>CC5+1</f>
        <v>45937</v>
      </c>
      <c r="CE5" s="13">
        <f t="shared" ref="CE5:CI5" si="44">CD5+1</f>
        <v>45938</v>
      </c>
      <c r="CF5" s="13">
        <f t="shared" si="44"/>
        <v>45939</v>
      </c>
      <c r="CG5" s="13">
        <f t="shared" si="44"/>
        <v>45940</v>
      </c>
      <c r="CH5" s="13">
        <f t="shared" si="44"/>
        <v>45941</v>
      </c>
      <c r="CI5" s="14">
        <f t="shared" si="44"/>
        <v>45942</v>
      </c>
      <c r="CJ5" s="12">
        <f>CI5+1</f>
        <v>45943</v>
      </c>
      <c r="CK5" s="13">
        <f>CJ5+1</f>
        <v>45944</v>
      </c>
      <c r="CL5" s="13">
        <f t="shared" ref="CL5:CP5" si="45">CK5+1</f>
        <v>45945</v>
      </c>
      <c r="CM5" s="13">
        <f t="shared" si="45"/>
        <v>45946</v>
      </c>
      <c r="CN5" s="13">
        <f t="shared" si="45"/>
        <v>45947</v>
      </c>
      <c r="CO5" s="13">
        <f t="shared" si="45"/>
        <v>45948</v>
      </c>
      <c r="CP5" s="14">
        <f t="shared" si="45"/>
        <v>45949</v>
      </c>
      <c r="CQ5" s="12">
        <f>CP5+1</f>
        <v>45950</v>
      </c>
      <c r="CR5" s="13">
        <f>CQ5+1</f>
        <v>45951</v>
      </c>
      <c r="CS5" s="13">
        <f t="shared" ref="CS5:CW5" si="46">CR5+1</f>
        <v>45952</v>
      </c>
      <c r="CT5" s="13">
        <f t="shared" si="46"/>
        <v>45953</v>
      </c>
      <c r="CU5" s="13">
        <f t="shared" si="46"/>
        <v>45954</v>
      </c>
      <c r="CV5" s="13">
        <f t="shared" si="46"/>
        <v>45955</v>
      </c>
      <c r="CW5" s="14">
        <f t="shared" si="46"/>
        <v>45956</v>
      </c>
      <c r="CX5" s="12">
        <f>CW5+1</f>
        <v>45957</v>
      </c>
      <c r="CY5" s="13">
        <f>CX5+1</f>
        <v>45958</v>
      </c>
      <c r="CZ5" s="13">
        <f t="shared" ref="CZ5:DD5" si="47">CY5+1</f>
        <v>45959</v>
      </c>
      <c r="DA5" s="13">
        <f t="shared" si="47"/>
        <v>45960</v>
      </c>
      <c r="DB5" s="13">
        <f t="shared" si="47"/>
        <v>45961</v>
      </c>
      <c r="DC5" s="13">
        <f t="shared" si="47"/>
        <v>45962</v>
      </c>
      <c r="DD5" s="14">
        <f t="shared" si="47"/>
        <v>45963</v>
      </c>
      <c r="DE5" s="12">
        <f>DD5+1</f>
        <v>45964</v>
      </c>
      <c r="DF5" s="13">
        <f>DE5+1</f>
        <v>45965</v>
      </c>
      <c r="DG5" s="13">
        <f t="shared" ref="DG5:DK5" si="48">DF5+1</f>
        <v>45966</v>
      </c>
      <c r="DH5" s="13">
        <f t="shared" si="48"/>
        <v>45967</v>
      </c>
      <c r="DI5" s="13">
        <f t="shared" si="48"/>
        <v>45968</v>
      </c>
      <c r="DJ5" s="13">
        <f t="shared" si="48"/>
        <v>45969</v>
      </c>
      <c r="DK5" s="14">
        <f t="shared" si="48"/>
        <v>45970</v>
      </c>
      <c r="DL5" s="12">
        <f>DK5+1</f>
        <v>45971</v>
      </c>
      <c r="DM5" s="13">
        <f>DL5+1</f>
        <v>45972</v>
      </c>
      <c r="DN5" s="13">
        <f t="shared" ref="DN5:DR5" si="49">DM5+1</f>
        <v>45973</v>
      </c>
      <c r="DO5" s="13">
        <f t="shared" si="49"/>
        <v>45974</v>
      </c>
      <c r="DP5" s="13">
        <f t="shared" si="49"/>
        <v>45975</v>
      </c>
      <c r="DQ5" s="13">
        <f t="shared" si="49"/>
        <v>45976</v>
      </c>
      <c r="DR5" s="14">
        <f t="shared" si="49"/>
        <v>45977</v>
      </c>
      <c r="DS5" s="12">
        <f>DR5+1</f>
        <v>45978</v>
      </c>
      <c r="DT5" s="13">
        <f>DS5+1</f>
        <v>45979</v>
      </c>
      <c r="DU5" s="13">
        <f t="shared" ref="DU5:EM5" si="50">DT5+1</f>
        <v>45980</v>
      </c>
      <c r="DV5" s="13">
        <f t="shared" si="50"/>
        <v>45981</v>
      </c>
      <c r="DW5" s="13">
        <f t="shared" si="50"/>
        <v>45982</v>
      </c>
      <c r="DX5" s="13">
        <f t="shared" si="50"/>
        <v>45983</v>
      </c>
      <c r="DY5" s="14">
        <f t="shared" si="50"/>
        <v>45984</v>
      </c>
      <c r="DZ5" s="14">
        <f t="shared" si="50"/>
        <v>45985</v>
      </c>
      <c r="EA5" s="14">
        <f t="shared" si="50"/>
        <v>45986</v>
      </c>
      <c r="EB5" s="14">
        <f t="shared" si="50"/>
        <v>45987</v>
      </c>
      <c r="EC5" s="14">
        <f t="shared" si="50"/>
        <v>45988</v>
      </c>
      <c r="ED5" s="14">
        <f t="shared" si="50"/>
        <v>45989</v>
      </c>
      <c r="EE5" s="14">
        <f t="shared" si="50"/>
        <v>45990</v>
      </c>
      <c r="EF5" s="14">
        <f t="shared" si="50"/>
        <v>45991</v>
      </c>
      <c r="EG5" s="14">
        <f t="shared" si="50"/>
        <v>45992</v>
      </c>
      <c r="EH5" s="14">
        <f t="shared" si="50"/>
        <v>45993</v>
      </c>
      <c r="EI5" s="14">
        <f t="shared" si="50"/>
        <v>45994</v>
      </c>
      <c r="EJ5" s="14">
        <f t="shared" si="50"/>
        <v>45995</v>
      </c>
      <c r="EK5" s="14">
        <f t="shared" si="50"/>
        <v>45996</v>
      </c>
      <c r="EL5" s="14">
        <f t="shared" si="50"/>
        <v>45997</v>
      </c>
      <c r="EM5" s="14">
        <f t="shared" si="50"/>
        <v>45998</v>
      </c>
      <c r="EN5" s="12">
        <f>EF5+1</f>
        <v>45992</v>
      </c>
      <c r="EO5" s="13">
        <f>EN5+1</f>
        <v>45993</v>
      </c>
      <c r="EP5" s="13">
        <f t="shared" ref="EP5:ET5" si="51">EO5+1</f>
        <v>45994</v>
      </c>
      <c r="EQ5" s="13">
        <f t="shared" si="51"/>
        <v>45995</v>
      </c>
      <c r="ER5" s="13">
        <f t="shared" si="51"/>
        <v>45996</v>
      </c>
      <c r="ES5" s="13">
        <f t="shared" si="51"/>
        <v>45997</v>
      </c>
      <c r="ET5" s="14">
        <f t="shared" si="51"/>
        <v>45998</v>
      </c>
      <c r="EU5" s="12">
        <f>ET5+1</f>
        <v>45999</v>
      </c>
      <c r="EV5" s="13">
        <f>EU5+1</f>
        <v>46000</v>
      </c>
      <c r="EW5" s="13">
        <f t="shared" ref="EW5:FA5" si="52">EV5+1</f>
        <v>46001</v>
      </c>
      <c r="EX5" s="13">
        <f t="shared" si="52"/>
        <v>46002</v>
      </c>
      <c r="EY5" s="13">
        <f t="shared" si="52"/>
        <v>46003</v>
      </c>
      <c r="EZ5" s="13">
        <f t="shared" si="52"/>
        <v>46004</v>
      </c>
      <c r="FA5" s="14">
        <f t="shared" si="52"/>
        <v>46005</v>
      </c>
      <c r="FB5" s="12">
        <f>FA5+1</f>
        <v>46006</v>
      </c>
      <c r="FC5" s="13">
        <f>FB5+1</f>
        <v>46007</v>
      </c>
      <c r="FD5" s="13">
        <f t="shared" ref="FD5:FH5" si="53">FC5+1</f>
        <v>46008</v>
      </c>
      <c r="FE5" s="13">
        <f t="shared" si="53"/>
        <v>46009</v>
      </c>
      <c r="FF5" s="13">
        <f t="shared" si="53"/>
        <v>46010</v>
      </c>
      <c r="FG5" s="13">
        <f t="shared" si="53"/>
        <v>46011</v>
      </c>
      <c r="FH5" s="14">
        <f t="shared" si="53"/>
        <v>46012</v>
      </c>
      <c r="FI5" s="12">
        <f>FH5+1</f>
        <v>46013</v>
      </c>
      <c r="FJ5" s="13">
        <f>FI5+1</f>
        <v>46014</v>
      </c>
      <c r="FK5" s="13">
        <f t="shared" ref="FK5:FO5" si="54">FJ5+1</f>
        <v>46015</v>
      </c>
      <c r="FL5" s="13">
        <f t="shared" si="54"/>
        <v>46016</v>
      </c>
      <c r="FM5" s="13">
        <f t="shared" si="54"/>
        <v>46017</v>
      </c>
      <c r="FN5" s="13">
        <f t="shared" si="54"/>
        <v>46018</v>
      </c>
      <c r="FO5" s="14">
        <f t="shared" si="54"/>
        <v>46019</v>
      </c>
      <c r="FP5" s="12">
        <f>FO5+1</f>
        <v>46020</v>
      </c>
      <c r="FQ5" s="13">
        <f>FP5+1</f>
        <v>46021</v>
      </c>
      <c r="FR5" s="13">
        <f t="shared" ref="FR5:FV5" si="55">FQ5+1</f>
        <v>46022</v>
      </c>
      <c r="FS5" s="13">
        <f t="shared" si="55"/>
        <v>46023</v>
      </c>
      <c r="FT5" s="13">
        <f t="shared" si="55"/>
        <v>46024</v>
      </c>
      <c r="FU5" s="13">
        <f t="shared" si="55"/>
        <v>46025</v>
      </c>
      <c r="FV5" s="14">
        <f t="shared" si="55"/>
        <v>46026</v>
      </c>
      <c r="FW5" s="12">
        <f>FV5+1</f>
        <v>46027</v>
      </c>
      <c r="FX5" s="13">
        <f>FW5+1</f>
        <v>46028</v>
      </c>
      <c r="FY5" s="13">
        <f t="shared" ref="FY5:GC5" si="56">FX5+1</f>
        <v>46029</v>
      </c>
      <c r="FZ5" s="13">
        <f t="shared" si="56"/>
        <v>46030</v>
      </c>
      <c r="GA5" s="13">
        <f t="shared" si="56"/>
        <v>46031</v>
      </c>
      <c r="GB5" s="13">
        <f t="shared" si="56"/>
        <v>46032</v>
      </c>
      <c r="GC5" s="14">
        <f t="shared" si="56"/>
        <v>46033</v>
      </c>
      <c r="GD5" s="12">
        <f>GC5+1</f>
        <v>46034</v>
      </c>
      <c r="GE5" s="13">
        <f>GD5+1</f>
        <v>46035</v>
      </c>
      <c r="GF5" s="13">
        <f t="shared" ref="GF5:GJ5" si="57">GE5+1</f>
        <v>46036</v>
      </c>
      <c r="GG5" s="13">
        <f t="shared" si="57"/>
        <v>46037</v>
      </c>
      <c r="GH5" s="13">
        <f t="shared" si="57"/>
        <v>46038</v>
      </c>
      <c r="GI5" s="13">
        <f t="shared" si="57"/>
        <v>46039</v>
      </c>
      <c r="GJ5" s="14">
        <f t="shared" si="57"/>
        <v>46040</v>
      </c>
      <c r="GK5" s="12">
        <f>GJ5+1</f>
        <v>46041</v>
      </c>
      <c r="GL5" s="13">
        <f>GK5+1</f>
        <v>46042</v>
      </c>
      <c r="GM5" s="13">
        <f t="shared" ref="GM5:GQ5" si="58">GL5+1</f>
        <v>46043</v>
      </c>
      <c r="GN5" s="13">
        <f t="shared" si="58"/>
        <v>46044</v>
      </c>
      <c r="GO5" s="13">
        <f t="shared" si="58"/>
        <v>46045</v>
      </c>
      <c r="GP5" s="13">
        <f t="shared" si="58"/>
        <v>46046</v>
      </c>
      <c r="GQ5" s="14">
        <f t="shared" si="58"/>
        <v>46047</v>
      </c>
      <c r="GR5" s="12">
        <f>GQ5+1</f>
        <v>46048</v>
      </c>
      <c r="GS5" s="13">
        <f>GR5+1</f>
        <v>46049</v>
      </c>
      <c r="GT5" s="13">
        <f t="shared" ref="GT5:GX5" si="59">GS5+1</f>
        <v>46050</v>
      </c>
      <c r="GU5" s="13">
        <f t="shared" si="59"/>
        <v>46051</v>
      </c>
      <c r="GV5" s="13">
        <f t="shared" si="59"/>
        <v>46052</v>
      </c>
      <c r="GW5" s="13">
        <f t="shared" si="59"/>
        <v>46053</v>
      </c>
      <c r="GX5" s="14">
        <f t="shared" si="59"/>
        <v>46054</v>
      </c>
      <c r="GY5" s="12">
        <f>GX5+1</f>
        <v>46055</v>
      </c>
      <c r="GZ5" s="13">
        <f>GY5+1</f>
        <v>46056</v>
      </c>
      <c r="HA5" s="13">
        <f t="shared" ref="HA5:HE5" si="60">GZ5+1</f>
        <v>46057</v>
      </c>
      <c r="HB5" s="13">
        <f t="shared" si="60"/>
        <v>46058</v>
      </c>
      <c r="HC5" s="13">
        <f t="shared" si="60"/>
        <v>46059</v>
      </c>
      <c r="HD5" s="13">
        <f t="shared" si="60"/>
        <v>46060</v>
      </c>
      <c r="HE5" s="14">
        <f t="shared" si="60"/>
        <v>46061</v>
      </c>
      <c r="HF5" s="12">
        <f>HE5+1</f>
        <v>46062</v>
      </c>
      <c r="HG5" s="13">
        <f>HF5+1</f>
        <v>46063</v>
      </c>
      <c r="HH5" s="13">
        <f t="shared" ref="HH5:HL5" si="61">HG5+1</f>
        <v>46064</v>
      </c>
      <c r="HI5" s="13">
        <f t="shared" si="61"/>
        <v>46065</v>
      </c>
      <c r="HJ5" s="13">
        <f t="shared" si="61"/>
        <v>46066</v>
      </c>
      <c r="HK5" s="13">
        <f t="shared" si="61"/>
        <v>46067</v>
      </c>
      <c r="HL5" s="14">
        <f t="shared" si="61"/>
        <v>46068</v>
      </c>
      <c r="HM5" s="12">
        <f>HL5+1</f>
        <v>46069</v>
      </c>
      <c r="HN5" s="13">
        <f>HM5+1</f>
        <v>46070</v>
      </c>
      <c r="HO5" s="13">
        <f t="shared" ref="HO5:HS5" si="62">HN5+1</f>
        <v>46071</v>
      </c>
      <c r="HP5" s="13">
        <f t="shared" si="62"/>
        <v>46072</v>
      </c>
      <c r="HQ5" s="13">
        <f t="shared" si="62"/>
        <v>46073</v>
      </c>
      <c r="HR5" s="13">
        <f t="shared" si="62"/>
        <v>46074</v>
      </c>
      <c r="HS5" s="14">
        <f t="shared" si="62"/>
        <v>46075</v>
      </c>
      <c r="HT5" s="12">
        <f>HS5+1</f>
        <v>46076</v>
      </c>
      <c r="HU5" s="13">
        <f>HT5+1</f>
        <v>46077</v>
      </c>
      <c r="HV5" s="13">
        <f t="shared" ref="HV5:HZ5" si="63">HU5+1</f>
        <v>46078</v>
      </c>
      <c r="HW5" s="13">
        <f t="shared" si="63"/>
        <v>46079</v>
      </c>
      <c r="HX5" s="13">
        <f t="shared" si="63"/>
        <v>46080</v>
      </c>
      <c r="HY5" s="13">
        <f t="shared" si="63"/>
        <v>46081</v>
      </c>
      <c r="HZ5" s="14">
        <f t="shared" si="63"/>
        <v>46082</v>
      </c>
      <c r="IA5" s="12">
        <f>HZ5+1</f>
        <v>46083</v>
      </c>
      <c r="IB5" s="13">
        <f>IA5+1</f>
        <v>46084</v>
      </c>
      <c r="IC5" s="13">
        <f t="shared" ref="IC5:IG5" si="64">IB5+1</f>
        <v>46085</v>
      </c>
      <c r="ID5" s="13">
        <f t="shared" si="64"/>
        <v>46086</v>
      </c>
      <c r="IE5" s="13">
        <f t="shared" si="64"/>
        <v>46087</v>
      </c>
      <c r="IF5" s="13">
        <f t="shared" si="64"/>
        <v>46088</v>
      </c>
      <c r="IG5" s="14">
        <f t="shared" si="64"/>
        <v>46089</v>
      </c>
      <c r="IH5" s="12">
        <f>IG5+1</f>
        <v>46090</v>
      </c>
      <c r="II5" s="13">
        <f>IH5+1</f>
        <v>46091</v>
      </c>
      <c r="IJ5" s="13">
        <f t="shared" ref="IJ5:IN5" si="65">II5+1</f>
        <v>46092</v>
      </c>
      <c r="IK5" s="13">
        <f t="shared" si="65"/>
        <v>46093</v>
      </c>
      <c r="IL5" s="13">
        <f t="shared" si="65"/>
        <v>46094</v>
      </c>
      <c r="IM5" s="13">
        <f t="shared" si="65"/>
        <v>46095</v>
      </c>
      <c r="IN5" s="14">
        <f t="shared" si="65"/>
        <v>46096</v>
      </c>
      <c r="IO5" s="12">
        <f>IN5+1</f>
        <v>46097</v>
      </c>
      <c r="IP5" s="13">
        <f>IO5+1</f>
        <v>46098</v>
      </c>
      <c r="IQ5" s="13">
        <f t="shared" ref="IQ5:IU5" si="66">IP5+1</f>
        <v>46099</v>
      </c>
      <c r="IR5" s="13">
        <f t="shared" si="66"/>
        <v>46100</v>
      </c>
      <c r="IS5" s="13">
        <f t="shared" si="66"/>
        <v>46101</v>
      </c>
      <c r="IT5" s="13">
        <f t="shared" si="66"/>
        <v>46102</v>
      </c>
      <c r="IU5" s="14">
        <f t="shared" si="66"/>
        <v>46103</v>
      </c>
      <c r="IV5" s="12">
        <f>IU5+1</f>
        <v>46104</v>
      </c>
      <c r="IW5" s="13">
        <f>IV5+1</f>
        <v>46105</v>
      </c>
      <c r="IX5" s="13">
        <f t="shared" ref="IX5:JB5" si="67">IW5+1</f>
        <v>46106</v>
      </c>
      <c r="IY5" s="13">
        <f t="shared" si="67"/>
        <v>46107</v>
      </c>
      <c r="IZ5" s="13">
        <f t="shared" si="67"/>
        <v>46108</v>
      </c>
      <c r="JA5" s="13">
        <f t="shared" si="67"/>
        <v>46109</v>
      </c>
      <c r="JB5" s="14">
        <f t="shared" si="67"/>
        <v>46110</v>
      </c>
      <c r="JC5" s="12">
        <f>JB5+1</f>
        <v>46111</v>
      </c>
      <c r="JD5" s="13">
        <f>JC5+1</f>
        <v>46112</v>
      </c>
      <c r="JE5" s="13">
        <f t="shared" ref="JE5:JG5" si="68">JD5+1</f>
        <v>46113</v>
      </c>
      <c r="JF5" s="13">
        <f t="shared" si="68"/>
        <v>46114</v>
      </c>
      <c r="JG5" s="13">
        <f t="shared" si="68"/>
        <v>46115</v>
      </c>
      <c r="JH5" s="13">
        <f>JG5+1</f>
        <v>46116</v>
      </c>
      <c r="JI5" s="14">
        <f t="shared" ref="JI5" si="69">JH5+1</f>
        <v>46117</v>
      </c>
      <c r="JJ5" s="12">
        <f>JI5+1</f>
        <v>46118</v>
      </c>
      <c r="JK5" s="13">
        <f>JJ5+1</f>
        <v>46119</v>
      </c>
      <c r="JL5" s="13">
        <f t="shared" ref="JL5:JP5" si="70">JK5+1</f>
        <v>46120</v>
      </c>
      <c r="JM5" s="13">
        <f t="shared" si="70"/>
        <v>46121</v>
      </c>
      <c r="JN5" s="13">
        <f t="shared" si="70"/>
        <v>46122</v>
      </c>
      <c r="JO5" s="13">
        <f t="shared" si="70"/>
        <v>46123</v>
      </c>
      <c r="JP5" s="14">
        <f t="shared" si="70"/>
        <v>46124</v>
      </c>
      <c r="JQ5" s="12">
        <f>JP5+1</f>
        <v>46125</v>
      </c>
      <c r="JR5" s="13">
        <f>JQ5+1</f>
        <v>46126</v>
      </c>
      <c r="JS5" s="13">
        <f t="shared" ref="JS5:JW5" si="71">JR5+1</f>
        <v>46127</v>
      </c>
      <c r="JT5" s="13">
        <f t="shared" si="71"/>
        <v>46128</v>
      </c>
      <c r="JU5" s="13">
        <f t="shared" si="71"/>
        <v>46129</v>
      </c>
      <c r="JV5" s="13">
        <f t="shared" si="71"/>
        <v>46130</v>
      </c>
      <c r="JW5" s="14">
        <f t="shared" si="71"/>
        <v>46131</v>
      </c>
      <c r="JX5" s="12">
        <f>JW5+1</f>
        <v>46132</v>
      </c>
      <c r="JY5" s="13">
        <f>JX5+1</f>
        <v>46133</v>
      </c>
      <c r="JZ5" s="13">
        <f t="shared" ref="JZ5:KD5" si="72">JY5+1</f>
        <v>46134</v>
      </c>
      <c r="KA5" s="13">
        <f t="shared" si="72"/>
        <v>46135</v>
      </c>
      <c r="KB5" s="13">
        <f t="shared" si="72"/>
        <v>46136</v>
      </c>
      <c r="KC5" s="13">
        <f t="shared" si="72"/>
        <v>46137</v>
      </c>
      <c r="KD5" s="14">
        <f t="shared" si="72"/>
        <v>46138</v>
      </c>
      <c r="KE5" s="12">
        <f>KD5+1</f>
        <v>46139</v>
      </c>
      <c r="KF5" s="13">
        <f>KE5+1</f>
        <v>46140</v>
      </c>
      <c r="KG5" s="13">
        <f t="shared" ref="KG5:KK5" si="73">KF5+1</f>
        <v>46141</v>
      </c>
      <c r="KH5" s="13">
        <f t="shared" si="73"/>
        <v>46142</v>
      </c>
      <c r="KI5" s="13">
        <f t="shared" si="73"/>
        <v>46143</v>
      </c>
      <c r="KJ5" s="13">
        <f t="shared" si="73"/>
        <v>46144</v>
      </c>
      <c r="KK5" s="14">
        <f t="shared" si="73"/>
        <v>46145</v>
      </c>
      <c r="KL5" s="12">
        <f>KK5+1</f>
        <v>46146</v>
      </c>
      <c r="KM5" s="13">
        <f>KL5+1</f>
        <v>46147</v>
      </c>
      <c r="KN5" s="13">
        <f t="shared" ref="KN5:KR5" si="74">KM5+1</f>
        <v>46148</v>
      </c>
      <c r="KO5" s="13">
        <f t="shared" si="74"/>
        <v>46149</v>
      </c>
      <c r="KP5" s="13">
        <f t="shared" si="74"/>
        <v>46150</v>
      </c>
      <c r="KQ5" s="13">
        <f t="shared" si="74"/>
        <v>46151</v>
      </c>
      <c r="KR5" s="14">
        <f t="shared" si="74"/>
        <v>46152</v>
      </c>
      <c r="KS5" s="12">
        <f>KR5+1</f>
        <v>46153</v>
      </c>
      <c r="KT5" s="13">
        <f>KS5+1</f>
        <v>46154</v>
      </c>
      <c r="KU5" s="13">
        <f t="shared" ref="KU5:KY5" si="75">KT5+1</f>
        <v>46155</v>
      </c>
      <c r="KV5" s="13">
        <f t="shared" si="75"/>
        <v>46156</v>
      </c>
      <c r="KW5" s="13">
        <f t="shared" si="75"/>
        <v>46157</v>
      </c>
      <c r="KX5" s="13">
        <f t="shared" si="75"/>
        <v>46158</v>
      </c>
      <c r="KY5" s="14">
        <f t="shared" si="75"/>
        <v>46159</v>
      </c>
      <c r="KZ5" s="12">
        <f>KY5+1</f>
        <v>46160</v>
      </c>
      <c r="LA5" s="13">
        <f>KZ5+1</f>
        <v>46161</v>
      </c>
      <c r="LB5" s="13">
        <f t="shared" ref="LB5:LF5" si="76">LA5+1</f>
        <v>46162</v>
      </c>
      <c r="LC5" s="13">
        <f t="shared" si="76"/>
        <v>46163</v>
      </c>
      <c r="LD5" s="13">
        <f t="shared" si="76"/>
        <v>46164</v>
      </c>
      <c r="LE5" s="13">
        <f t="shared" si="76"/>
        <v>46165</v>
      </c>
      <c r="LF5" s="14">
        <f t="shared" si="76"/>
        <v>46166</v>
      </c>
      <c r="LG5" s="12">
        <f>LF5+1</f>
        <v>46167</v>
      </c>
      <c r="LH5" s="13">
        <f>LG5+1</f>
        <v>46168</v>
      </c>
      <c r="LI5" s="13">
        <f t="shared" ref="LI5:LM5" si="77">LH5+1</f>
        <v>46169</v>
      </c>
      <c r="LJ5" s="13">
        <f t="shared" si="77"/>
        <v>46170</v>
      </c>
      <c r="LK5" s="13">
        <f t="shared" si="77"/>
        <v>46171</v>
      </c>
      <c r="LL5" s="13">
        <f t="shared" si="77"/>
        <v>46172</v>
      </c>
      <c r="LM5" s="14">
        <f t="shared" si="77"/>
        <v>46173</v>
      </c>
      <c r="LN5" s="12">
        <f>LM5+1</f>
        <v>46174</v>
      </c>
      <c r="LO5" s="13">
        <f>LN5+1</f>
        <v>46175</v>
      </c>
      <c r="LP5" s="13">
        <f t="shared" ref="LP5:LT5" si="78">LO5+1</f>
        <v>46176</v>
      </c>
      <c r="LQ5" s="13">
        <f t="shared" si="78"/>
        <v>46177</v>
      </c>
      <c r="LR5" s="13">
        <f t="shared" si="78"/>
        <v>46178</v>
      </c>
      <c r="LS5" s="13">
        <f t="shared" si="78"/>
        <v>46179</v>
      </c>
      <c r="LT5" s="14">
        <f t="shared" si="78"/>
        <v>46180</v>
      </c>
      <c r="LU5" s="12">
        <f>LT5+1</f>
        <v>46181</v>
      </c>
      <c r="LV5" s="13">
        <f>LU5+1</f>
        <v>46182</v>
      </c>
      <c r="LW5" s="13">
        <f t="shared" ref="LW5:MA5" si="79">LV5+1</f>
        <v>46183</v>
      </c>
      <c r="LX5" s="13">
        <f t="shared" si="79"/>
        <v>46184</v>
      </c>
      <c r="LY5" s="13">
        <f t="shared" si="79"/>
        <v>46185</v>
      </c>
      <c r="LZ5" s="13">
        <f t="shared" si="79"/>
        <v>46186</v>
      </c>
      <c r="MA5" s="14">
        <f t="shared" si="79"/>
        <v>46187</v>
      </c>
      <c r="MB5" s="12">
        <f>MA5+1</f>
        <v>46188</v>
      </c>
      <c r="MC5" s="13">
        <f>MB5+1</f>
        <v>46189</v>
      </c>
      <c r="MD5" s="13">
        <f t="shared" ref="MD5:MH5" si="80">MC5+1</f>
        <v>46190</v>
      </c>
      <c r="ME5" s="13">
        <f t="shared" si="80"/>
        <v>46191</v>
      </c>
      <c r="MF5" s="13">
        <f t="shared" si="80"/>
        <v>46192</v>
      </c>
      <c r="MG5" s="13">
        <f t="shared" si="80"/>
        <v>46193</v>
      </c>
      <c r="MH5" s="14">
        <f t="shared" si="80"/>
        <v>46194</v>
      </c>
    </row>
    <row r="6" spans="1:353" ht="29.25" customHeight="1" thickBot="1">
      <c r="A6" s="226" t="s">
        <v>57</v>
      </c>
      <c r="B6" s="227"/>
      <c r="C6" s="15" t="s">
        <v>58</v>
      </c>
      <c r="D6" s="16" t="s">
        <v>59</v>
      </c>
      <c r="E6" s="17" t="s">
        <v>60</v>
      </c>
      <c r="F6" s="17" t="s">
        <v>61</v>
      </c>
      <c r="G6" s="17" t="s">
        <v>62</v>
      </c>
      <c r="H6" s="48" t="s">
        <v>63</v>
      </c>
      <c r="I6" s="18"/>
      <c r="J6" s="18" t="s">
        <v>64</v>
      </c>
      <c r="K6" s="19" t="str">
        <f t="shared" ref="K6:BV6" si="81">LEFT(TEXT(K5,"ddd"),1)</f>
        <v>M</v>
      </c>
      <c r="L6" s="19" t="str">
        <f t="shared" si="81"/>
        <v>T</v>
      </c>
      <c r="M6" s="19" t="str">
        <f t="shared" si="81"/>
        <v>W</v>
      </c>
      <c r="N6" s="19" t="str">
        <f t="shared" si="81"/>
        <v>T</v>
      </c>
      <c r="O6" s="19" t="str">
        <f t="shared" si="81"/>
        <v>F</v>
      </c>
      <c r="P6" s="19" t="str">
        <f t="shared" si="81"/>
        <v>S</v>
      </c>
      <c r="Q6" s="19" t="str">
        <f t="shared" si="81"/>
        <v>S</v>
      </c>
      <c r="R6" s="19" t="str">
        <f t="shared" si="81"/>
        <v>M</v>
      </c>
      <c r="S6" s="19" t="str">
        <f t="shared" si="81"/>
        <v>T</v>
      </c>
      <c r="T6" s="19" t="str">
        <f t="shared" si="81"/>
        <v>W</v>
      </c>
      <c r="U6" s="19" t="str">
        <f t="shared" si="81"/>
        <v>T</v>
      </c>
      <c r="V6" s="19" t="str">
        <f t="shared" si="81"/>
        <v>F</v>
      </c>
      <c r="W6" s="19" t="str">
        <f t="shared" si="81"/>
        <v>S</v>
      </c>
      <c r="X6" s="19" t="str">
        <f t="shared" si="81"/>
        <v>S</v>
      </c>
      <c r="Y6" s="19" t="str">
        <f t="shared" si="81"/>
        <v>M</v>
      </c>
      <c r="Z6" s="19" t="str">
        <f t="shared" si="81"/>
        <v>T</v>
      </c>
      <c r="AA6" s="19" t="str">
        <f t="shared" si="81"/>
        <v>W</v>
      </c>
      <c r="AB6" s="19" t="str">
        <f t="shared" si="81"/>
        <v>T</v>
      </c>
      <c r="AC6" s="19" t="str">
        <f t="shared" si="81"/>
        <v>F</v>
      </c>
      <c r="AD6" s="19" t="str">
        <f t="shared" si="81"/>
        <v>S</v>
      </c>
      <c r="AE6" s="19" t="str">
        <f t="shared" si="81"/>
        <v>S</v>
      </c>
      <c r="AF6" s="19" t="str">
        <f t="shared" si="81"/>
        <v>M</v>
      </c>
      <c r="AG6" s="19" t="str">
        <f t="shared" si="81"/>
        <v>T</v>
      </c>
      <c r="AH6" s="19" t="str">
        <f t="shared" si="81"/>
        <v>W</v>
      </c>
      <c r="AI6" s="19" t="str">
        <f t="shared" si="81"/>
        <v>T</v>
      </c>
      <c r="AJ6" s="19" t="str">
        <f t="shared" si="81"/>
        <v>F</v>
      </c>
      <c r="AK6" s="19" t="str">
        <f t="shared" si="81"/>
        <v>S</v>
      </c>
      <c r="AL6" s="19" t="str">
        <f t="shared" si="81"/>
        <v>S</v>
      </c>
      <c r="AM6" s="19" t="str">
        <f t="shared" si="81"/>
        <v>M</v>
      </c>
      <c r="AN6" s="19" t="str">
        <f t="shared" si="81"/>
        <v>T</v>
      </c>
      <c r="AO6" s="19" t="str">
        <f t="shared" si="81"/>
        <v>W</v>
      </c>
      <c r="AP6" s="19" t="str">
        <f t="shared" si="81"/>
        <v>T</v>
      </c>
      <c r="AQ6" s="19" t="str">
        <f t="shared" si="81"/>
        <v>F</v>
      </c>
      <c r="AR6" s="19" t="str">
        <f t="shared" si="81"/>
        <v>S</v>
      </c>
      <c r="AS6" s="19" t="str">
        <f t="shared" si="81"/>
        <v>S</v>
      </c>
      <c r="AT6" s="19" t="str">
        <f t="shared" si="81"/>
        <v>M</v>
      </c>
      <c r="AU6" s="19" t="str">
        <f t="shared" si="81"/>
        <v>T</v>
      </c>
      <c r="AV6" s="19" t="str">
        <f t="shared" si="81"/>
        <v>W</v>
      </c>
      <c r="AW6" s="19" t="str">
        <f t="shared" si="81"/>
        <v>T</v>
      </c>
      <c r="AX6" s="19" t="str">
        <f t="shared" si="81"/>
        <v>F</v>
      </c>
      <c r="AY6" s="19" t="str">
        <f t="shared" si="81"/>
        <v>S</v>
      </c>
      <c r="AZ6" s="19" t="str">
        <f t="shared" si="81"/>
        <v>S</v>
      </c>
      <c r="BA6" s="19" t="str">
        <f t="shared" si="81"/>
        <v>M</v>
      </c>
      <c r="BB6" s="19" t="str">
        <f t="shared" si="81"/>
        <v>T</v>
      </c>
      <c r="BC6" s="19" t="str">
        <f t="shared" si="81"/>
        <v>W</v>
      </c>
      <c r="BD6" s="19" t="str">
        <f t="shared" si="81"/>
        <v>T</v>
      </c>
      <c r="BE6" s="19" t="str">
        <f t="shared" si="81"/>
        <v>F</v>
      </c>
      <c r="BF6" s="19" t="str">
        <f t="shared" si="81"/>
        <v>S</v>
      </c>
      <c r="BG6" s="19" t="str">
        <f t="shared" si="81"/>
        <v>S</v>
      </c>
      <c r="BH6" s="19" t="str">
        <f t="shared" si="81"/>
        <v>M</v>
      </c>
      <c r="BI6" s="19" t="str">
        <f t="shared" si="81"/>
        <v>T</v>
      </c>
      <c r="BJ6" s="19" t="str">
        <f t="shared" si="81"/>
        <v>W</v>
      </c>
      <c r="BK6" s="19" t="str">
        <f t="shared" si="81"/>
        <v>T</v>
      </c>
      <c r="BL6" s="19" t="str">
        <f t="shared" si="81"/>
        <v>F</v>
      </c>
      <c r="BM6" s="19" t="str">
        <f t="shared" si="81"/>
        <v>S</v>
      </c>
      <c r="BN6" s="19" t="str">
        <f t="shared" si="81"/>
        <v>S</v>
      </c>
      <c r="BO6" s="19" t="str">
        <f t="shared" si="81"/>
        <v>M</v>
      </c>
      <c r="BP6" s="19" t="str">
        <f t="shared" si="81"/>
        <v>T</v>
      </c>
      <c r="BQ6" s="19" t="str">
        <f t="shared" si="81"/>
        <v>W</v>
      </c>
      <c r="BR6" s="19" t="str">
        <f t="shared" si="81"/>
        <v>T</v>
      </c>
      <c r="BS6" s="19" t="str">
        <f t="shared" si="81"/>
        <v>F</v>
      </c>
      <c r="BT6" s="19" t="str">
        <f t="shared" si="81"/>
        <v>S</v>
      </c>
      <c r="BU6" s="19" t="str">
        <f t="shared" si="81"/>
        <v>S</v>
      </c>
      <c r="BV6" s="19" t="str">
        <f t="shared" si="81"/>
        <v>M</v>
      </c>
      <c r="BW6" s="20" t="str">
        <f t="shared" ref="BW6:EH6" si="82">LEFT(TEXT(BW5,"ddd"),1)</f>
        <v>T</v>
      </c>
      <c r="BX6" s="19" t="str">
        <f t="shared" si="82"/>
        <v>W</v>
      </c>
      <c r="BY6" s="19" t="str">
        <f t="shared" si="82"/>
        <v>T</v>
      </c>
      <c r="BZ6" s="19" t="str">
        <f t="shared" si="82"/>
        <v>F</v>
      </c>
      <c r="CA6" s="19" t="str">
        <f t="shared" si="82"/>
        <v>S</v>
      </c>
      <c r="CB6" s="19" t="str">
        <f t="shared" si="82"/>
        <v>S</v>
      </c>
      <c r="CC6" s="19" t="str">
        <f t="shared" si="82"/>
        <v>M</v>
      </c>
      <c r="CD6" s="19" t="str">
        <f t="shared" si="82"/>
        <v>T</v>
      </c>
      <c r="CE6" s="19" t="str">
        <f t="shared" si="82"/>
        <v>W</v>
      </c>
      <c r="CF6" s="19" t="str">
        <f t="shared" si="82"/>
        <v>T</v>
      </c>
      <c r="CG6" s="19" t="str">
        <f t="shared" si="82"/>
        <v>F</v>
      </c>
      <c r="CH6" s="19" t="str">
        <f t="shared" si="82"/>
        <v>S</v>
      </c>
      <c r="CI6" s="19" t="str">
        <f t="shared" si="82"/>
        <v>S</v>
      </c>
      <c r="CJ6" s="19" t="str">
        <f t="shared" si="82"/>
        <v>M</v>
      </c>
      <c r="CK6" s="19" t="str">
        <f t="shared" si="82"/>
        <v>T</v>
      </c>
      <c r="CL6" s="19" t="str">
        <f t="shared" si="82"/>
        <v>W</v>
      </c>
      <c r="CM6" s="19" t="str">
        <f t="shared" si="82"/>
        <v>T</v>
      </c>
      <c r="CN6" s="19" t="str">
        <f t="shared" si="82"/>
        <v>F</v>
      </c>
      <c r="CO6" s="19" t="str">
        <f t="shared" si="82"/>
        <v>S</v>
      </c>
      <c r="CP6" s="19" t="str">
        <f t="shared" si="82"/>
        <v>S</v>
      </c>
      <c r="CQ6" s="19" t="str">
        <f t="shared" si="82"/>
        <v>M</v>
      </c>
      <c r="CR6" s="19" t="str">
        <f t="shared" si="82"/>
        <v>T</v>
      </c>
      <c r="CS6" s="19" t="str">
        <f t="shared" si="82"/>
        <v>W</v>
      </c>
      <c r="CT6" s="19" t="str">
        <f t="shared" si="82"/>
        <v>T</v>
      </c>
      <c r="CU6" s="19" t="str">
        <f t="shared" si="82"/>
        <v>F</v>
      </c>
      <c r="CV6" s="19" t="str">
        <f t="shared" si="82"/>
        <v>S</v>
      </c>
      <c r="CW6" s="19" t="str">
        <f t="shared" si="82"/>
        <v>S</v>
      </c>
      <c r="CX6" s="19" t="str">
        <f t="shared" si="82"/>
        <v>M</v>
      </c>
      <c r="CY6" s="19" t="str">
        <f t="shared" si="82"/>
        <v>T</v>
      </c>
      <c r="CZ6" s="19" t="str">
        <f t="shared" si="82"/>
        <v>W</v>
      </c>
      <c r="DA6" s="19" t="str">
        <f t="shared" si="82"/>
        <v>T</v>
      </c>
      <c r="DB6" s="19" t="str">
        <f t="shared" si="82"/>
        <v>F</v>
      </c>
      <c r="DC6" s="19" t="str">
        <f t="shared" si="82"/>
        <v>S</v>
      </c>
      <c r="DD6" s="19" t="str">
        <f t="shared" si="82"/>
        <v>S</v>
      </c>
      <c r="DE6" s="19" t="str">
        <f t="shared" si="82"/>
        <v>M</v>
      </c>
      <c r="DF6" s="19" t="str">
        <f t="shared" si="82"/>
        <v>T</v>
      </c>
      <c r="DG6" s="19" t="str">
        <f t="shared" si="82"/>
        <v>W</v>
      </c>
      <c r="DH6" s="19" t="str">
        <f t="shared" si="82"/>
        <v>T</v>
      </c>
      <c r="DI6" s="19" t="str">
        <f t="shared" si="82"/>
        <v>F</v>
      </c>
      <c r="DJ6" s="19" t="str">
        <f t="shared" si="82"/>
        <v>S</v>
      </c>
      <c r="DK6" s="19" t="str">
        <f t="shared" si="82"/>
        <v>S</v>
      </c>
      <c r="DL6" s="19" t="str">
        <f t="shared" si="82"/>
        <v>M</v>
      </c>
      <c r="DM6" s="19" t="str">
        <f t="shared" si="82"/>
        <v>T</v>
      </c>
      <c r="DN6" s="19" t="str">
        <f t="shared" si="82"/>
        <v>W</v>
      </c>
      <c r="DO6" s="19" t="str">
        <f t="shared" si="82"/>
        <v>T</v>
      </c>
      <c r="DP6" s="19" t="str">
        <f t="shared" si="82"/>
        <v>F</v>
      </c>
      <c r="DQ6" s="19" t="str">
        <f t="shared" si="82"/>
        <v>S</v>
      </c>
      <c r="DR6" s="19" t="str">
        <f t="shared" si="82"/>
        <v>S</v>
      </c>
      <c r="DS6" s="19" t="str">
        <f t="shared" si="82"/>
        <v>M</v>
      </c>
      <c r="DT6" s="19" t="str">
        <f t="shared" si="82"/>
        <v>T</v>
      </c>
      <c r="DU6" s="19" t="str">
        <f t="shared" si="82"/>
        <v>W</v>
      </c>
      <c r="DV6" s="19" t="str">
        <f t="shared" si="82"/>
        <v>T</v>
      </c>
      <c r="DW6" s="19" t="str">
        <f t="shared" si="82"/>
        <v>F</v>
      </c>
      <c r="DX6" s="19" t="str">
        <f t="shared" si="82"/>
        <v>S</v>
      </c>
      <c r="DY6" s="19" t="str">
        <f t="shared" si="82"/>
        <v>S</v>
      </c>
      <c r="DZ6" s="19" t="str">
        <f t="shared" si="82"/>
        <v>M</v>
      </c>
      <c r="EA6" s="19" t="str">
        <f t="shared" si="82"/>
        <v>T</v>
      </c>
      <c r="EB6" s="19" t="str">
        <f t="shared" si="82"/>
        <v>W</v>
      </c>
      <c r="EC6" s="19" t="str">
        <f t="shared" si="82"/>
        <v>T</v>
      </c>
      <c r="ED6" s="19" t="str">
        <f t="shared" si="82"/>
        <v>F</v>
      </c>
      <c r="EE6" s="19" t="str">
        <f t="shared" si="82"/>
        <v>S</v>
      </c>
      <c r="EF6" s="19" t="str">
        <f t="shared" si="82"/>
        <v>S</v>
      </c>
      <c r="EG6" s="19" t="str">
        <f t="shared" si="82"/>
        <v>M</v>
      </c>
      <c r="EH6" s="19" t="str">
        <f t="shared" si="82"/>
        <v>T</v>
      </c>
      <c r="EI6" s="19" t="str">
        <f t="shared" ref="EI6:GT6" si="83">LEFT(TEXT(EI5,"ddd"),1)</f>
        <v>W</v>
      </c>
      <c r="EJ6" s="19" t="str">
        <f t="shared" si="83"/>
        <v>T</v>
      </c>
      <c r="EK6" s="19" t="str">
        <f t="shared" si="83"/>
        <v>F</v>
      </c>
      <c r="EL6" s="19" t="str">
        <f t="shared" si="83"/>
        <v>S</v>
      </c>
      <c r="EM6" s="19" t="str">
        <f t="shared" si="83"/>
        <v>S</v>
      </c>
      <c r="EN6" s="19" t="str">
        <f t="shared" si="83"/>
        <v>M</v>
      </c>
      <c r="EO6" s="19" t="str">
        <f t="shared" si="83"/>
        <v>T</v>
      </c>
      <c r="EP6" s="19" t="str">
        <f t="shared" si="83"/>
        <v>W</v>
      </c>
      <c r="EQ6" s="19" t="str">
        <f t="shared" si="83"/>
        <v>T</v>
      </c>
      <c r="ER6" s="19" t="str">
        <f t="shared" si="83"/>
        <v>F</v>
      </c>
      <c r="ES6" s="19" t="str">
        <f t="shared" si="83"/>
        <v>S</v>
      </c>
      <c r="ET6" s="19" t="str">
        <f t="shared" si="83"/>
        <v>S</v>
      </c>
      <c r="EU6" s="19" t="str">
        <f t="shared" si="83"/>
        <v>M</v>
      </c>
      <c r="EV6" s="19" t="str">
        <f t="shared" si="83"/>
        <v>T</v>
      </c>
      <c r="EW6" s="19" t="str">
        <f t="shared" si="83"/>
        <v>W</v>
      </c>
      <c r="EX6" s="19" t="str">
        <f t="shared" si="83"/>
        <v>T</v>
      </c>
      <c r="EY6" s="19" t="str">
        <f t="shared" si="83"/>
        <v>F</v>
      </c>
      <c r="EZ6" s="19" t="str">
        <f t="shared" si="83"/>
        <v>S</v>
      </c>
      <c r="FA6" s="19" t="str">
        <f t="shared" si="83"/>
        <v>S</v>
      </c>
      <c r="FB6" s="19" t="str">
        <f t="shared" si="83"/>
        <v>M</v>
      </c>
      <c r="FC6" s="19" t="str">
        <f t="shared" si="83"/>
        <v>T</v>
      </c>
      <c r="FD6" s="19" t="str">
        <f t="shared" si="83"/>
        <v>W</v>
      </c>
      <c r="FE6" s="19" t="str">
        <f t="shared" si="83"/>
        <v>T</v>
      </c>
      <c r="FF6" s="19" t="str">
        <f t="shared" si="83"/>
        <v>F</v>
      </c>
      <c r="FG6" s="19" t="str">
        <f t="shared" si="83"/>
        <v>S</v>
      </c>
      <c r="FH6" s="19" t="str">
        <f t="shared" si="83"/>
        <v>S</v>
      </c>
      <c r="FI6" s="19" t="str">
        <f t="shared" si="83"/>
        <v>M</v>
      </c>
      <c r="FJ6" s="19" t="str">
        <f t="shared" si="83"/>
        <v>T</v>
      </c>
      <c r="FK6" s="19" t="str">
        <f t="shared" si="83"/>
        <v>W</v>
      </c>
      <c r="FL6" s="19" t="str">
        <f t="shared" si="83"/>
        <v>T</v>
      </c>
      <c r="FM6" s="19" t="str">
        <f t="shared" si="83"/>
        <v>F</v>
      </c>
      <c r="FN6" s="19" t="str">
        <f t="shared" si="83"/>
        <v>S</v>
      </c>
      <c r="FO6" s="19" t="str">
        <f t="shared" si="83"/>
        <v>S</v>
      </c>
      <c r="FP6" s="19" t="str">
        <f t="shared" si="83"/>
        <v>M</v>
      </c>
      <c r="FQ6" s="19" t="str">
        <f t="shared" si="83"/>
        <v>T</v>
      </c>
      <c r="FR6" s="19" t="str">
        <f t="shared" si="83"/>
        <v>W</v>
      </c>
      <c r="FS6" s="19" t="str">
        <f t="shared" si="83"/>
        <v>T</v>
      </c>
      <c r="FT6" s="19" t="str">
        <f t="shared" si="83"/>
        <v>F</v>
      </c>
      <c r="FU6" s="19" t="str">
        <f t="shared" si="83"/>
        <v>S</v>
      </c>
      <c r="FV6" s="19" t="str">
        <f t="shared" si="83"/>
        <v>S</v>
      </c>
      <c r="FW6" s="19" t="str">
        <f t="shared" si="83"/>
        <v>M</v>
      </c>
      <c r="FX6" s="19" t="str">
        <f t="shared" si="83"/>
        <v>T</v>
      </c>
      <c r="FY6" s="19" t="str">
        <f t="shared" si="83"/>
        <v>W</v>
      </c>
      <c r="FZ6" s="19" t="str">
        <f t="shared" si="83"/>
        <v>T</v>
      </c>
      <c r="GA6" s="19" t="str">
        <f t="shared" si="83"/>
        <v>F</v>
      </c>
      <c r="GB6" s="19" t="str">
        <f t="shared" si="83"/>
        <v>S</v>
      </c>
      <c r="GC6" s="19" t="str">
        <f t="shared" si="83"/>
        <v>S</v>
      </c>
      <c r="GD6" s="19" t="str">
        <f t="shared" si="83"/>
        <v>M</v>
      </c>
      <c r="GE6" s="19" t="str">
        <f t="shared" si="83"/>
        <v>T</v>
      </c>
      <c r="GF6" s="19" t="str">
        <f t="shared" si="83"/>
        <v>W</v>
      </c>
      <c r="GG6" s="19" t="str">
        <f t="shared" si="83"/>
        <v>T</v>
      </c>
      <c r="GH6" s="19" t="str">
        <f t="shared" si="83"/>
        <v>F</v>
      </c>
      <c r="GI6" s="19" t="str">
        <f t="shared" si="83"/>
        <v>S</v>
      </c>
      <c r="GJ6" s="19" t="str">
        <f t="shared" si="83"/>
        <v>S</v>
      </c>
      <c r="GK6" s="19" t="str">
        <f t="shared" si="83"/>
        <v>M</v>
      </c>
      <c r="GL6" s="19" t="str">
        <f t="shared" si="83"/>
        <v>T</v>
      </c>
      <c r="GM6" s="19" t="str">
        <f t="shared" si="83"/>
        <v>W</v>
      </c>
      <c r="GN6" s="19" t="str">
        <f t="shared" si="83"/>
        <v>T</v>
      </c>
      <c r="GO6" s="19" t="str">
        <f t="shared" si="83"/>
        <v>F</v>
      </c>
      <c r="GP6" s="19" t="str">
        <f t="shared" si="83"/>
        <v>S</v>
      </c>
      <c r="GQ6" s="19" t="str">
        <f t="shared" si="83"/>
        <v>S</v>
      </c>
      <c r="GR6" s="19" t="str">
        <f t="shared" si="83"/>
        <v>M</v>
      </c>
      <c r="GS6" s="19" t="str">
        <f t="shared" si="83"/>
        <v>T</v>
      </c>
      <c r="GT6" s="19" t="str">
        <f t="shared" si="83"/>
        <v>W</v>
      </c>
      <c r="GU6" s="19" t="str">
        <f t="shared" ref="GU6:JF6" si="84">LEFT(TEXT(GU5,"ddd"),1)</f>
        <v>T</v>
      </c>
      <c r="GV6" s="19" t="str">
        <f t="shared" si="84"/>
        <v>F</v>
      </c>
      <c r="GW6" s="19" t="str">
        <f t="shared" si="84"/>
        <v>S</v>
      </c>
      <c r="GX6" s="19" t="str">
        <f t="shared" si="84"/>
        <v>S</v>
      </c>
      <c r="GY6" s="19" t="str">
        <f t="shared" si="84"/>
        <v>M</v>
      </c>
      <c r="GZ6" s="19" t="str">
        <f t="shared" si="84"/>
        <v>T</v>
      </c>
      <c r="HA6" s="19" t="str">
        <f t="shared" si="84"/>
        <v>W</v>
      </c>
      <c r="HB6" s="19" t="str">
        <f t="shared" si="84"/>
        <v>T</v>
      </c>
      <c r="HC6" s="19" t="str">
        <f t="shared" si="84"/>
        <v>F</v>
      </c>
      <c r="HD6" s="19" t="str">
        <f t="shared" si="84"/>
        <v>S</v>
      </c>
      <c r="HE6" s="19" t="str">
        <f t="shared" si="84"/>
        <v>S</v>
      </c>
      <c r="HF6" s="19" t="str">
        <f t="shared" si="84"/>
        <v>M</v>
      </c>
      <c r="HG6" s="19" t="str">
        <f t="shared" si="84"/>
        <v>T</v>
      </c>
      <c r="HH6" s="19" t="str">
        <f t="shared" si="84"/>
        <v>W</v>
      </c>
      <c r="HI6" s="19" t="str">
        <f t="shared" si="84"/>
        <v>T</v>
      </c>
      <c r="HJ6" s="19" t="str">
        <f t="shared" si="84"/>
        <v>F</v>
      </c>
      <c r="HK6" s="19" t="str">
        <f t="shared" si="84"/>
        <v>S</v>
      </c>
      <c r="HL6" s="19" t="str">
        <f t="shared" si="84"/>
        <v>S</v>
      </c>
      <c r="HM6" s="19" t="str">
        <f t="shared" si="84"/>
        <v>M</v>
      </c>
      <c r="HN6" s="19" t="str">
        <f t="shared" si="84"/>
        <v>T</v>
      </c>
      <c r="HO6" s="19" t="str">
        <f t="shared" si="84"/>
        <v>W</v>
      </c>
      <c r="HP6" s="19" t="str">
        <f t="shared" si="84"/>
        <v>T</v>
      </c>
      <c r="HQ6" s="19" t="str">
        <f t="shared" si="84"/>
        <v>F</v>
      </c>
      <c r="HR6" s="19" t="str">
        <f t="shared" si="84"/>
        <v>S</v>
      </c>
      <c r="HS6" s="19" t="str">
        <f t="shared" si="84"/>
        <v>S</v>
      </c>
      <c r="HT6" s="19" t="str">
        <f t="shared" si="84"/>
        <v>M</v>
      </c>
      <c r="HU6" s="19" t="str">
        <f t="shared" si="84"/>
        <v>T</v>
      </c>
      <c r="HV6" s="19" t="str">
        <f t="shared" si="84"/>
        <v>W</v>
      </c>
      <c r="HW6" s="19" t="str">
        <f t="shared" si="84"/>
        <v>T</v>
      </c>
      <c r="HX6" s="19" t="str">
        <f t="shared" si="84"/>
        <v>F</v>
      </c>
      <c r="HY6" s="19" t="str">
        <f t="shared" si="84"/>
        <v>S</v>
      </c>
      <c r="HZ6" s="19" t="str">
        <f t="shared" si="84"/>
        <v>S</v>
      </c>
      <c r="IA6" s="19" t="str">
        <f t="shared" si="84"/>
        <v>M</v>
      </c>
      <c r="IB6" s="19" t="str">
        <f t="shared" si="84"/>
        <v>T</v>
      </c>
      <c r="IC6" s="19" t="str">
        <f t="shared" si="84"/>
        <v>W</v>
      </c>
      <c r="ID6" s="19" t="str">
        <f t="shared" si="84"/>
        <v>T</v>
      </c>
      <c r="IE6" s="19" t="str">
        <f t="shared" si="84"/>
        <v>F</v>
      </c>
      <c r="IF6" s="19" t="str">
        <f t="shared" si="84"/>
        <v>S</v>
      </c>
      <c r="IG6" s="19" t="str">
        <f t="shared" si="84"/>
        <v>S</v>
      </c>
      <c r="IH6" s="19" t="str">
        <f t="shared" si="84"/>
        <v>M</v>
      </c>
      <c r="II6" s="19" t="str">
        <f t="shared" si="84"/>
        <v>T</v>
      </c>
      <c r="IJ6" s="19" t="str">
        <f t="shared" si="84"/>
        <v>W</v>
      </c>
      <c r="IK6" s="19" t="str">
        <f t="shared" si="84"/>
        <v>T</v>
      </c>
      <c r="IL6" s="19" t="str">
        <f t="shared" si="84"/>
        <v>F</v>
      </c>
      <c r="IM6" s="19" t="str">
        <f t="shared" si="84"/>
        <v>S</v>
      </c>
      <c r="IN6" s="19" t="str">
        <f t="shared" si="84"/>
        <v>S</v>
      </c>
      <c r="IO6" s="19" t="str">
        <f t="shared" si="84"/>
        <v>M</v>
      </c>
      <c r="IP6" s="19" t="str">
        <f t="shared" si="84"/>
        <v>T</v>
      </c>
      <c r="IQ6" s="19" t="str">
        <f t="shared" si="84"/>
        <v>W</v>
      </c>
      <c r="IR6" s="19" t="str">
        <f t="shared" si="84"/>
        <v>T</v>
      </c>
      <c r="IS6" s="19" t="str">
        <f t="shared" si="84"/>
        <v>F</v>
      </c>
      <c r="IT6" s="19" t="str">
        <f t="shared" si="84"/>
        <v>S</v>
      </c>
      <c r="IU6" s="19" t="str">
        <f t="shared" si="84"/>
        <v>S</v>
      </c>
      <c r="IV6" s="19" t="str">
        <f t="shared" si="84"/>
        <v>M</v>
      </c>
      <c r="IW6" s="19" t="str">
        <f t="shared" si="84"/>
        <v>T</v>
      </c>
      <c r="IX6" s="19" t="str">
        <f t="shared" si="84"/>
        <v>W</v>
      </c>
      <c r="IY6" s="19" t="str">
        <f t="shared" si="84"/>
        <v>T</v>
      </c>
      <c r="IZ6" s="19" t="str">
        <f t="shared" si="84"/>
        <v>F</v>
      </c>
      <c r="JA6" s="19" t="str">
        <f t="shared" si="84"/>
        <v>S</v>
      </c>
      <c r="JB6" s="19" t="str">
        <f t="shared" si="84"/>
        <v>S</v>
      </c>
      <c r="JC6" s="19" t="str">
        <f t="shared" si="84"/>
        <v>M</v>
      </c>
      <c r="JD6" s="19" t="str">
        <f t="shared" si="84"/>
        <v>T</v>
      </c>
      <c r="JE6" s="19" t="str">
        <f t="shared" si="84"/>
        <v>W</v>
      </c>
      <c r="JF6" s="19" t="str">
        <f t="shared" si="84"/>
        <v>T</v>
      </c>
      <c r="JG6" s="19" t="str">
        <f t="shared" ref="JG6:LR6" si="85">LEFT(TEXT(JG5,"ddd"),1)</f>
        <v>F</v>
      </c>
      <c r="JH6" s="19" t="str">
        <f t="shared" si="85"/>
        <v>S</v>
      </c>
      <c r="JI6" s="19" t="str">
        <f t="shared" si="85"/>
        <v>S</v>
      </c>
      <c r="JJ6" s="19" t="str">
        <f t="shared" si="85"/>
        <v>M</v>
      </c>
      <c r="JK6" s="19" t="str">
        <f t="shared" si="85"/>
        <v>T</v>
      </c>
      <c r="JL6" s="19" t="str">
        <f t="shared" si="85"/>
        <v>W</v>
      </c>
      <c r="JM6" s="19" t="str">
        <f t="shared" si="85"/>
        <v>T</v>
      </c>
      <c r="JN6" s="19" t="str">
        <f t="shared" si="85"/>
        <v>F</v>
      </c>
      <c r="JO6" s="19" t="str">
        <f t="shared" si="85"/>
        <v>S</v>
      </c>
      <c r="JP6" s="19" t="str">
        <f t="shared" si="85"/>
        <v>S</v>
      </c>
      <c r="JQ6" s="19" t="str">
        <f t="shared" si="85"/>
        <v>M</v>
      </c>
      <c r="JR6" s="19" t="str">
        <f t="shared" si="85"/>
        <v>T</v>
      </c>
      <c r="JS6" s="19" t="str">
        <f t="shared" si="85"/>
        <v>W</v>
      </c>
      <c r="JT6" s="19" t="str">
        <f t="shared" si="85"/>
        <v>T</v>
      </c>
      <c r="JU6" s="19" t="str">
        <f t="shared" si="85"/>
        <v>F</v>
      </c>
      <c r="JV6" s="19" t="str">
        <f t="shared" si="85"/>
        <v>S</v>
      </c>
      <c r="JW6" s="19" t="str">
        <f t="shared" si="85"/>
        <v>S</v>
      </c>
      <c r="JX6" s="19" t="str">
        <f t="shared" si="85"/>
        <v>M</v>
      </c>
      <c r="JY6" s="19" t="str">
        <f t="shared" si="85"/>
        <v>T</v>
      </c>
      <c r="JZ6" s="19" t="str">
        <f t="shared" si="85"/>
        <v>W</v>
      </c>
      <c r="KA6" s="19" t="str">
        <f t="shared" si="85"/>
        <v>T</v>
      </c>
      <c r="KB6" s="19" t="str">
        <f t="shared" si="85"/>
        <v>F</v>
      </c>
      <c r="KC6" s="19" t="str">
        <f t="shared" si="85"/>
        <v>S</v>
      </c>
      <c r="KD6" s="19" t="str">
        <f t="shared" si="85"/>
        <v>S</v>
      </c>
      <c r="KE6" s="19" t="str">
        <f t="shared" si="85"/>
        <v>M</v>
      </c>
      <c r="KF6" s="19" t="str">
        <f t="shared" si="85"/>
        <v>T</v>
      </c>
      <c r="KG6" s="19" t="str">
        <f t="shared" si="85"/>
        <v>W</v>
      </c>
      <c r="KH6" s="19" t="str">
        <f t="shared" si="85"/>
        <v>T</v>
      </c>
      <c r="KI6" s="19" t="str">
        <f t="shared" si="85"/>
        <v>F</v>
      </c>
      <c r="KJ6" s="19" t="str">
        <f t="shared" si="85"/>
        <v>S</v>
      </c>
      <c r="KK6" s="19" t="str">
        <f t="shared" si="85"/>
        <v>S</v>
      </c>
      <c r="KL6" s="19" t="str">
        <f t="shared" si="85"/>
        <v>M</v>
      </c>
      <c r="KM6" s="20" t="str">
        <f t="shared" si="85"/>
        <v>T</v>
      </c>
      <c r="KN6" s="19" t="str">
        <f t="shared" si="85"/>
        <v>W</v>
      </c>
      <c r="KO6" s="19" t="str">
        <f t="shared" si="85"/>
        <v>T</v>
      </c>
      <c r="KP6" s="19" t="str">
        <f t="shared" si="85"/>
        <v>F</v>
      </c>
      <c r="KQ6" s="19" t="str">
        <f t="shared" si="85"/>
        <v>S</v>
      </c>
      <c r="KR6" s="19" t="str">
        <f t="shared" si="85"/>
        <v>S</v>
      </c>
      <c r="KS6" s="19" t="str">
        <f t="shared" si="85"/>
        <v>M</v>
      </c>
      <c r="KT6" s="19" t="str">
        <f t="shared" si="85"/>
        <v>T</v>
      </c>
      <c r="KU6" s="19" t="str">
        <f t="shared" si="85"/>
        <v>W</v>
      </c>
      <c r="KV6" s="19" t="str">
        <f t="shared" si="85"/>
        <v>T</v>
      </c>
      <c r="KW6" s="19" t="str">
        <f t="shared" si="85"/>
        <v>F</v>
      </c>
      <c r="KX6" s="19" t="str">
        <f t="shared" si="85"/>
        <v>S</v>
      </c>
      <c r="KY6" s="19" t="str">
        <f t="shared" si="85"/>
        <v>S</v>
      </c>
      <c r="KZ6" s="19" t="str">
        <f t="shared" si="85"/>
        <v>M</v>
      </c>
      <c r="LA6" s="19" t="str">
        <f t="shared" si="85"/>
        <v>T</v>
      </c>
      <c r="LB6" s="19" t="str">
        <f t="shared" si="85"/>
        <v>W</v>
      </c>
      <c r="LC6" s="19" t="str">
        <f t="shared" si="85"/>
        <v>T</v>
      </c>
      <c r="LD6" s="19" t="str">
        <f t="shared" si="85"/>
        <v>F</v>
      </c>
      <c r="LE6" s="19" t="str">
        <f t="shared" si="85"/>
        <v>S</v>
      </c>
      <c r="LF6" s="19" t="str">
        <f t="shared" si="85"/>
        <v>S</v>
      </c>
      <c r="LG6" s="19" t="str">
        <f t="shared" si="85"/>
        <v>M</v>
      </c>
      <c r="LH6" s="19" t="str">
        <f t="shared" si="85"/>
        <v>T</v>
      </c>
      <c r="LI6" s="19" t="str">
        <f t="shared" si="85"/>
        <v>W</v>
      </c>
      <c r="LJ6" s="19" t="str">
        <f t="shared" si="85"/>
        <v>T</v>
      </c>
      <c r="LK6" s="19" t="str">
        <f t="shared" si="85"/>
        <v>F</v>
      </c>
      <c r="LL6" s="19" t="str">
        <f t="shared" si="85"/>
        <v>S</v>
      </c>
      <c r="LM6" s="19" t="str">
        <f t="shared" si="85"/>
        <v>S</v>
      </c>
      <c r="LN6" s="19" t="str">
        <f t="shared" si="85"/>
        <v>M</v>
      </c>
      <c r="LO6" s="19" t="str">
        <f t="shared" si="85"/>
        <v>T</v>
      </c>
      <c r="LP6" s="19" t="str">
        <f t="shared" si="85"/>
        <v>W</v>
      </c>
      <c r="LQ6" s="19" t="str">
        <f t="shared" si="85"/>
        <v>T</v>
      </c>
      <c r="LR6" s="19" t="str">
        <f t="shared" si="85"/>
        <v>F</v>
      </c>
      <c r="LS6" s="19" t="str">
        <f t="shared" ref="LS6:MH6" si="86">LEFT(TEXT(LS5,"ddd"),1)</f>
        <v>S</v>
      </c>
      <c r="LT6" s="19" t="str">
        <f t="shared" si="86"/>
        <v>S</v>
      </c>
      <c r="LU6" s="19" t="str">
        <f t="shared" si="86"/>
        <v>M</v>
      </c>
      <c r="LV6" s="19" t="str">
        <f t="shared" si="86"/>
        <v>T</v>
      </c>
      <c r="LW6" s="19" t="str">
        <f t="shared" si="86"/>
        <v>W</v>
      </c>
      <c r="LX6" s="19" t="str">
        <f t="shared" si="86"/>
        <v>T</v>
      </c>
      <c r="LY6" s="19" t="str">
        <f t="shared" si="86"/>
        <v>F</v>
      </c>
      <c r="LZ6" s="19" t="str">
        <f t="shared" si="86"/>
        <v>S</v>
      </c>
      <c r="MA6" s="19" t="str">
        <f t="shared" si="86"/>
        <v>S</v>
      </c>
      <c r="MB6" s="19" t="str">
        <f t="shared" si="86"/>
        <v>M</v>
      </c>
      <c r="MC6" s="19" t="str">
        <f t="shared" si="86"/>
        <v>T</v>
      </c>
      <c r="MD6" s="19" t="str">
        <f t="shared" si="86"/>
        <v>W</v>
      </c>
      <c r="ME6" s="19" t="str">
        <f t="shared" si="86"/>
        <v>T</v>
      </c>
      <c r="MF6" s="19" t="str">
        <f t="shared" si="86"/>
        <v>F</v>
      </c>
      <c r="MG6" s="19" t="str">
        <f t="shared" si="86"/>
        <v>S</v>
      </c>
      <c r="MH6" s="19" t="str">
        <f t="shared" si="86"/>
        <v>S</v>
      </c>
    </row>
    <row r="7" spans="1:353" s="28" customFormat="1" ht="21.9" customHeight="1" thickBot="1">
      <c r="A7" s="231" t="s">
        <v>65</v>
      </c>
      <c r="B7" s="228">
        <v>1.1000000000000001</v>
      </c>
      <c r="C7" s="229" t="s">
        <v>66</v>
      </c>
      <c r="D7" s="230" t="s">
        <v>67</v>
      </c>
      <c r="E7" s="77">
        <v>1</v>
      </c>
      <c r="F7" s="49">
        <v>45866</v>
      </c>
      <c r="G7" s="50">
        <v>45873</v>
      </c>
      <c r="H7" s="56" t="s">
        <v>49</v>
      </c>
      <c r="I7" s="94"/>
      <c r="J7" s="95">
        <f t="shared" ref="J7:J83" si="87">IF(OR(ISBLANK(task_start),ISBLANK(task_end)),"",task_end-task_start+1)</f>
        <v>8</v>
      </c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4"/>
      <c r="BV7" s="25"/>
      <c r="BW7" s="26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4"/>
      <c r="KL7" s="25"/>
      <c r="KM7" s="26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7"/>
    </row>
    <row r="8" spans="1:353" s="28" customFormat="1" ht="21.9" customHeight="1" thickBot="1">
      <c r="A8" s="232"/>
      <c r="B8" s="199"/>
      <c r="C8" s="201"/>
      <c r="D8" s="205"/>
      <c r="E8" s="61">
        <v>0.5</v>
      </c>
      <c r="F8" s="49">
        <v>45866</v>
      </c>
      <c r="G8" s="52"/>
      <c r="H8" s="59" t="s">
        <v>53</v>
      </c>
      <c r="I8" s="21"/>
      <c r="J8" s="96" t="str">
        <f t="shared" si="87"/>
        <v/>
      </c>
      <c r="K8" s="29"/>
      <c r="L8" s="30"/>
      <c r="M8" s="30"/>
      <c r="N8" s="30"/>
      <c r="O8" s="30"/>
      <c r="P8" s="41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1"/>
      <c r="BV8" s="32"/>
      <c r="BW8" s="33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1"/>
      <c r="KL8" s="32"/>
      <c r="KM8" s="33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4"/>
    </row>
    <row r="9" spans="1:353" s="28" customFormat="1" ht="21.9" customHeight="1" thickBot="1">
      <c r="A9" s="232"/>
      <c r="B9" s="199">
        <v>1.2</v>
      </c>
      <c r="C9" s="200" t="s">
        <v>68</v>
      </c>
      <c r="D9" s="204" t="s">
        <v>69</v>
      </c>
      <c r="E9" s="61">
        <v>0</v>
      </c>
      <c r="F9" s="49">
        <v>45868</v>
      </c>
      <c r="G9" s="52">
        <f>F9</f>
        <v>45868</v>
      </c>
      <c r="H9" s="60" t="s">
        <v>49</v>
      </c>
      <c r="I9" s="21"/>
      <c r="J9" s="96">
        <f t="shared" si="87"/>
        <v>1</v>
      </c>
      <c r="K9" s="29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1"/>
      <c r="BV9" s="32"/>
      <c r="BW9" s="33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1"/>
      <c r="KL9" s="32"/>
      <c r="KM9" s="33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4"/>
    </row>
    <row r="10" spans="1:353" s="28" customFormat="1" ht="21.9" customHeight="1" thickBot="1">
      <c r="A10" s="232"/>
      <c r="B10" s="199"/>
      <c r="C10" s="201"/>
      <c r="D10" s="205"/>
      <c r="E10" s="61">
        <v>1</v>
      </c>
      <c r="F10" s="49">
        <v>45868</v>
      </c>
      <c r="G10" s="52">
        <f>F10</f>
        <v>45868</v>
      </c>
      <c r="H10" s="59" t="s">
        <v>53</v>
      </c>
      <c r="I10" s="21"/>
      <c r="J10" s="96">
        <f t="shared" si="87"/>
        <v>1</v>
      </c>
      <c r="K10" s="29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1"/>
      <c r="BV10" s="32"/>
      <c r="BW10" s="33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1"/>
      <c r="KL10" s="32"/>
      <c r="KM10" s="33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4"/>
    </row>
    <row r="11" spans="1:353" s="28" customFormat="1" ht="21.9" customHeight="1" thickBot="1">
      <c r="A11" s="232"/>
      <c r="B11" s="199">
        <v>1.3</v>
      </c>
      <c r="C11" s="200" t="s">
        <v>70</v>
      </c>
      <c r="D11" s="204" t="s">
        <v>67</v>
      </c>
      <c r="E11" s="61">
        <v>1</v>
      </c>
      <c r="F11" s="51">
        <f>F9+1</f>
        <v>45869</v>
      </c>
      <c r="G11" s="52">
        <f>F11+4</f>
        <v>45873</v>
      </c>
      <c r="H11" s="60" t="s">
        <v>49</v>
      </c>
      <c r="I11" s="35"/>
      <c r="J11" s="96">
        <f t="shared" si="87"/>
        <v>5</v>
      </c>
      <c r="K11" s="29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1"/>
      <c r="BV11" s="32"/>
      <c r="BW11" s="33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1"/>
      <c r="KL11" s="32"/>
      <c r="KM11" s="33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4"/>
    </row>
    <row r="12" spans="1:353" s="28" customFormat="1" ht="21.9" customHeight="1" thickBot="1">
      <c r="A12" s="232"/>
      <c r="B12" s="199"/>
      <c r="C12" s="201"/>
      <c r="D12" s="205"/>
      <c r="E12" s="61">
        <v>0.2</v>
      </c>
      <c r="F12" s="51">
        <v>45873</v>
      </c>
      <c r="G12" s="52"/>
      <c r="H12" s="59" t="s">
        <v>53</v>
      </c>
      <c r="I12" s="21"/>
      <c r="J12" s="96" t="str">
        <f t="shared" si="87"/>
        <v/>
      </c>
      <c r="K12" s="29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1"/>
      <c r="BV12" s="32"/>
      <c r="BW12" s="33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1"/>
      <c r="KL12" s="32"/>
      <c r="KM12" s="33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4"/>
    </row>
    <row r="13" spans="1:353" s="28" customFormat="1" ht="21.9" customHeight="1" thickBot="1">
      <c r="A13" s="232"/>
      <c r="B13" s="199">
        <v>1.4</v>
      </c>
      <c r="C13" s="200" t="s">
        <v>71</v>
      </c>
      <c r="D13" s="202" t="s">
        <v>72</v>
      </c>
      <c r="E13" s="61">
        <v>0</v>
      </c>
      <c r="F13" s="51">
        <v>45870</v>
      </c>
      <c r="G13" s="52">
        <f>F13+25</f>
        <v>45895</v>
      </c>
      <c r="H13" s="60" t="s">
        <v>49</v>
      </c>
      <c r="I13" s="21"/>
      <c r="J13" s="96">
        <f t="shared" si="87"/>
        <v>26</v>
      </c>
      <c r="K13" s="2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6"/>
      <c r="X13" s="36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1"/>
      <c r="BV13" s="32"/>
      <c r="BW13" s="33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1"/>
      <c r="KL13" s="32"/>
      <c r="KM13" s="33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4"/>
    </row>
    <row r="14" spans="1:353" s="28" customFormat="1" ht="21.9" customHeight="1" thickBot="1">
      <c r="A14" s="232"/>
      <c r="B14" s="199"/>
      <c r="C14" s="201"/>
      <c r="D14" s="203"/>
      <c r="E14" s="61">
        <v>0</v>
      </c>
      <c r="F14" s="57"/>
      <c r="G14" s="58"/>
      <c r="H14" s="59" t="s">
        <v>53</v>
      </c>
      <c r="I14" s="21"/>
      <c r="J14" s="96" t="str">
        <f t="shared" si="87"/>
        <v/>
      </c>
      <c r="K14" s="2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6"/>
      <c r="X14" s="36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1"/>
      <c r="BV14" s="32"/>
      <c r="BW14" s="33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1"/>
      <c r="KL14" s="32"/>
      <c r="KM14" s="33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4"/>
    </row>
    <row r="15" spans="1:353" s="28" customFormat="1" ht="21.9" customHeight="1" thickBot="1">
      <c r="A15" s="232"/>
      <c r="B15" s="240">
        <v>1.7</v>
      </c>
      <c r="C15" s="241" t="s">
        <v>73</v>
      </c>
      <c r="D15" s="243" t="s">
        <v>69</v>
      </c>
      <c r="E15" s="61">
        <v>0</v>
      </c>
      <c r="F15" s="51">
        <f>G13</f>
        <v>45895</v>
      </c>
      <c r="G15" s="52">
        <f>F15+3</f>
        <v>45898</v>
      </c>
      <c r="H15" s="60" t="s">
        <v>49</v>
      </c>
      <c r="I15" s="21"/>
      <c r="J15" s="96">
        <f t="shared" si="87"/>
        <v>4</v>
      </c>
      <c r="K15" s="2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6"/>
      <c r="X15" s="36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1"/>
      <c r="BV15" s="32"/>
      <c r="BW15" s="33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1"/>
      <c r="KL15" s="32"/>
      <c r="KM15" s="33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4"/>
    </row>
    <row r="16" spans="1:353" s="28" customFormat="1" ht="21.9" customHeight="1" thickBot="1">
      <c r="A16" s="232"/>
      <c r="B16" s="240"/>
      <c r="C16" s="242"/>
      <c r="D16" s="244"/>
      <c r="E16" s="61">
        <v>0</v>
      </c>
      <c r="F16" s="62"/>
      <c r="G16" s="63"/>
      <c r="H16" s="59" t="s">
        <v>53</v>
      </c>
      <c r="I16" s="21"/>
      <c r="J16" s="96" t="str">
        <f t="shared" si="87"/>
        <v/>
      </c>
      <c r="K16" s="2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6"/>
      <c r="X16" s="36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1"/>
      <c r="BV16" s="32"/>
      <c r="BW16" s="33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1"/>
      <c r="KL16" s="32"/>
      <c r="KM16" s="33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4"/>
    </row>
    <row r="17" spans="1:346" s="28" customFormat="1" ht="21.9" customHeight="1" thickBot="1">
      <c r="A17" s="232"/>
      <c r="B17" s="199">
        <v>1.6</v>
      </c>
      <c r="C17" s="200" t="s">
        <v>74</v>
      </c>
      <c r="D17" s="202" t="s">
        <v>72</v>
      </c>
      <c r="E17" s="61">
        <v>0</v>
      </c>
      <c r="F17" s="51">
        <f>F13+10</f>
        <v>45880</v>
      </c>
      <c r="G17" s="52">
        <f>F17+30</f>
        <v>45910</v>
      </c>
      <c r="H17" s="60" t="s">
        <v>49</v>
      </c>
      <c r="I17" s="21"/>
      <c r="J17" s="96">
        <f t="shared" si="87"/>
        <v>31</v>
      </c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6"/>
      <c r="X17" s="36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1"/>
      <c r="BV17" s="32"/>
      <c r="BW17" s="33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1"/>
      <c r="KL17" s="32"/>
      <c r="KM17" s="33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4"/>
    </row>
    <row r="18" spans="1:346" s="28" customFormat="1" ht="21.9" customHeight="1" thickBot="1">
      <c r="A18" s="232"/>
      <c r="B18" s="199"/>
      <c r="C18" s="201"/>
      <c r="D18" s="203"/>
      <c r="E18" s="61">
        <v>0</v>
      </c>
      <c r="F18" s="51"/>
      <c r="G18" s="52"/>
      <c r="H18" s="59" t="s">
        <v>53</v>
      </c>
      <c r="I18" s="21"/>
      <c r="J18" s="96" t="str">
        <f t="shared" si="87"/>
        <v/>
      </c>
      <c r="K18" s="2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6"/>
      <c r="X18" s="36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1"/>
      <c r="BV18" s="32"/>
      <c r="BW18" s="33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1"/>
      <c r="KL18" s="32"/>
      <c r="KM18" s="33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4"/>
    </row>
    <row r="19" spans="1:346" s="28" customFormat="1" ht="21.9" customHeight="1" thickBot="1">
      <c r="A19" s="232"/>
      <c r="B19" s="240">
        <v>1.7</v>
      </c>
      <c r="C19" s="241" t="s">
        <v>75</v>
      </c>
      <c r="D19" s="243" t="s">
        <v>69</v>
      </c>
      <c r="E19" s="61">
        <v>0</v>
      </c>
      <c r="F19" s="51">
        <f>G17-2</f>
        <v>45908</v>
      </c>
      <c r="G19" s="52">
        <f>F19+4</f>
        <v>45912</v>
      </c>
      <c r="H19" s="60" t="s">
        <v>49</v>
      </c>
      <c r="I19" s="21"/>
      <c r="J19" s="96">
        <f t="shared" si="87"/>
        <v>5</v>
      </c>
      <c r="K19" s="2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6"/>
      <c r="X19" s="36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1"/>
      <c r="BV19" s="32"/>
      <c r="BW19" s="33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1"/>
      <c r="KL19" s="32"/>
      <c r="KM19" s="33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4"/>
    </row>
    <row r="20" spans="1:346" s="28" customFormat="1" ht="21.9" customHeight="1" thickBot="1">
      <c r="A20" s="232"/>
      <c r="B20" s="240"/>
      <c r="C20" s="242"/>
      <c r="D20" s="244"/>
      <c r="E20" s="61">
        <v>0</v>
      </c>
      <c r="F20" s="62"/>
      <c r="G20" s="63"/>
      <c r="H20" s="59" t="s">
        <v>53</v>
      </c>
      <c r="I20" s="21"/>
      <c r="J20" s="96" t="str">
        <f t="shared" si="87"/>
        <v/>
      </c>
      <c r="K20" s="2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6"/>
      <c r="X20" s="36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1"/>
      <c r="BV20" s="32"/>
      <c r="BW20" s="33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1"/>
      <c r="KL20" s="32"/>
      <c r="KM20" s="33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4"/>
    </row>
    <row r="21" spans="1:346" s="28" customFormat="1" ht="21.9" customHeight="1" thickBot="1">
      <c r="A21" s="232"/>
      <c r="B21" s="199">
        <v>1.8</v>
      </c>
      <c r="C21" s="200" t="s">
        <v>76</v>
      </c>
      <c r="D21" s="204" t="s">
        <v>69</v>
      </c>
      <c r="E21" s="61">
        <v>0</v>
      </c>
      <c r="F21" s="57">
        <f>F17</f>
        <v>45880</v>
      </c>
      <c r="G21" s="58">
        <f>F21+40</f>
        <v>45920</v>
      </c>
      <c r="H21" s="60" t="s">
        <v>49</v>
      </c>
      <c r="I21" s="21"/>
      <c r="J21" s="96">
        <f t="shared" si="87"/>
        <v>41</v>
      </c>
      <c r="K21" s="2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6"/>
      <c r="X21" s="36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1"/>
      <c r="BV21" s="32"/>
      <c r="BW21" s="33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1"/>
      <c r="KL21" s="32"/>
      <c r="KM21" s="33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4"/>
    </row>
    <row r="22" spans="1:346" s="28" customFormat="1" ht="21.9" customHeight="1" thickBot="1">
      <c r="A22" s="232"/>
      <c r="B22" s="199"/>
      <c r="C22" s="201"/>
      <c r="D22" s="205"/>
      <c r="E22" s="61">
        <v>0</v>
      </c>
      <c r="F22" s="57"/>
      <c r="G22" s="58"/>
      <c r="H22" s="59" t="s">
        <v>53</v>
      </c>
      <c r="I22" s="21"/>
      <c r="J22" s="96" t="str">
        <f t="shared" si="87"/>
        <v/>
      </c>
      <c r="K22" s="2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6"/>
      <c r="X22" s="36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1"/>
      <c r="BV22" s="32"/>
      <c r="BW22" s="33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1"/>
      <c r="KL22" s="32"/>
      <c r="KM22" s="33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4"/>
    </row>
    <row r="23" spans="1:346" s="28" customFormat="1" ht="21.9" customHeight="1" thickBot="1">
      <c r="A23" s="232"/>
      <c r="B23" s="199">
        <v>1.9</v>
      </c>
      <c r="C23" s="200" t="s">
        <v>77</v>
      </c>
      <c r="D23" s="202" t="s">
        <v>72</v>
      </c>
      <c r="E23" s="61">
        <v>0</v>
      </c>
      <c r="F23" s="57">
        <v>45901</v>
      </c>
      <c r="G23" s="58">
        <f>G21+7</f>
        <v>45927</v>
      </c>
      <c r="H23" s="60" t="s">
        <v>49</v>
      </c>
      <c r="I23" s="21"/>
      <c r="J23" s="96">
        <f t="shared" si="87"/>
        <v>27</v>
      </c>
      <c r="K23" s="2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6"/>
      <c r="X23" s="36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1"/>
      <c r="BV23" s="32"/>
      <c r="BW23" s="33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1"/>
      <c r="KL23" s="32"/>
      <c r="KM23" s="33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4"/>
    </row>
    <row r="24" spans="1:346" s="28" customFormat="1" ht="21.9" customHeight="1" thickBot="1">
      <c r="A24" s="232"/>
      <c r="B24" s="199"/>
      <c r="C24" s="201"/>
      <c r="D24" s="203"/>
      <c r="E24" s="61">
        <v>0</v>
      </c>
      <c r="F24" s="57"/>
      <c r="G24" s="58"/>
      <c r="H24" s="59" t="s">
        <v>53</v>
      </c>
      <c r="I24" s="21"/>
      <c r="J24" s="96" t="str">
        <f t="shared" si="87"/>
        <v/>
      </c>
      <c r="K24" s="2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6"/>
      <c r="X24" s="36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1"/>
      <c r="BV24" s="32"/>
      <c r="BW24" s="33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1"/>
      <c r="KL24" s="32"/>
      <c r="KM24" s="33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4"/>
    </row>
    <row r="25" spans="1:346" s="28" customFormat="1" ht="21.9" customHeight="1" thickBot="1">
      <c r="A25" s="232"/>
      <c r="B25" s="234" t="s">
        <v>78</v>
      </c>
      <c r="C25" s="200" t="s">
        <v>79</v>
      </c>
      <c r="D25" s="202" t="s">
        <v>72</v>
      </c>
      <c r="E25" s="61">
        <v>0</v>
      </c>
      <c r="F25" s="57">
        <f>G19</f>
        <v>45912</v>
      </c>
      <c r="G25" s="58">
        <f>F25+28</f>
        <v>45940</v>
      </c>
      <c r="H25" s="60" t="s">
        <v>49</v>
      </c>
      <c r="I25" s="21"/>
      <c r="J25" s="96">
        <f t="shared" si="87"/>
        <v>29</v>
      </c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6"/>
      <c r="X25" s="36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1"/>
      <c r="BV25" s="32"/>
      <c r="BW25" s="33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1"/>
      <c r="KL25" s="32"/>
      <c r="KM25" s="33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4"/>
    </row>
    <row r="26" spans="1:346" s="28" customFormat="1" ht="21.9" customHeight="1" thickBot="1">
      <c r="A26" s="232"/>
      <c r="B26" s="199"/>
      <c r="C26" s="201"/>
      <c r="D26" s="203"/>
      <c r="E26" s="61">
        <v>0</v>
      </c>
      <c r="F26" s="57"/>
      <c r="G26" s="58"/>
      <c r="H26" s="59" t="s">
        <v>53</v>
      </c>
      <c r="I26" s="21"/>
      <c r="J26" s="96" t="str">
        <f t="shared" si="87"/>
        <v/>
      </c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6"/>
      <c r="X26" s="36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1"/>
      <c r="BV26" s="32"/>
      <c r="BW26" s="33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1"/>
      <c r="KL26" s="32"/>
      <c r="KM26" s="33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4"/>
    </row>
    <row r="27" spans="1:346" s="28" customFormat="1" ht="21.9" customHeight="1" thickBot="1">
      <c r="A27" s="232"/>
      <c r="B27" s="240">
        <v>1.1100000000000001</v>
      </c>
      <c r="C27" s="241" t="s">
        <v>80</v>
      </c>
      <c r="D27" s="243" t="s">
        <v>69</v>
      </c>
      <c r="E27" s="61">
        <v>0</v>
      </c>
      <c r="F27" s="62">
        <f>G25+3</f>
        <v>45943</v>
      </c>
      <c r="G27" s="63">
        <f>F27+4</f>
        <v>45947</v>
      </c>
      <c r="H27" s="60" t="s">
        <v>49</v>
      </c>
      <c r="I27" s="21"/>
      <c r="J27" s="96">
        <f t="shared" si="87"/>
        <v>5</v>
      </c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6"/>
      <c r="X27" s="36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1"/>
      <c r="BV27" s="32"/>
      <c r="BW27" s="33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1"/>
      <c r="KL27" s="32"/>
      <c r="KM27" s="33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4"/>
    </row>
    <row r="28" spans="1:346" s="28" customFormat="1" ht="21.9" customHeight="1" thickBot="1">
      <c r="A28" s="232"/>
      <c r="B28" s="240"/>
      <c r="C28" s="242"/>
      <c r="D28" s="244"/>
      <c r="E28" s="61">
        <v>0</v>
      </c>
      <c r="F28" s="57"/>
      <c r="G28" s="57"/>
      <c r="H28" s="59" t="s">
        <v>53</v>
      </c>
      <c r="I28" s="21"/>
      <c r="J28" s="96" t="str">
        <f t="shared" si="87"/>
        <v/>
      </c>
      <c r="K28" s="2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6"/>
      <c r="X28" s="36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1"/>
      <c r="BV28" s="32"/>
      <c r="BW28" s="33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1"/>
      <c r="KL28" s="32"/>
      <c r="KM28" s="33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4"/>
    </row>
    <row r="29" spans="1:346" s="28" customFormat="1" ht="21.9" customHeight="1" thickBot="1">
      <c r="A29" s="232"/>
      <c r="B29" s="234" t="s">
        <v>81</v>
      </c>
      <c r="C29" s="200" t="s">
        <v>82</v>
      </c>
      <c r="D29" s="202" t="s">
        <v>72</v>
      </c>
      <c r="E29" s="61">
        <v>0</v>
      </c>
      <c r="F29" s="57">
        <f>G27+3</f>
        <v>45950</v>
      </c>
      <c r="G29" s="58">
        <f>F29+28</f>
        <v>45978</v>
      </c>
      <c r="H29" s="60" t="s">
        <v>49</v>
      </c>
      <c r="I29" s="21"/>
      <c r="J29" s="96">
        <f t="shared" si="87"/>
        <v>29</v>
      </c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1"/>
      <c r="BV29" s="32"/>
      <c r="BW29" s="33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1"/>
      <c r="KL29" s="32"/>
      <c r="KM29" s="33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4"/>
    </row>
    <row r="30" spans="1:346" s="28" customFormat="1" ht="21.9" customHeight="1" thickBot="1">
      <c r="A30" s="232"/>
      <c r="B30" s="199"/>
      <c r="C30" s="201"/>
      <c r="D30" s="203"/>
      <c r="E30" s="61">
        <v>0</v>
      </c>
      <c r="F30" s="57"/>
      <c r="G30" s="57"/>
      <c r="H30" s="59" t="s">
        <v>53</v>
      </c>
      <c r="I30" s="21"/>
      <c r="J30" s="96" t="str">
        <f t="shared" si="87"/>
        <v/>
      </c>
      <c r="K30" s="2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1"/>
      <c r="BV30" s="32"/>
      <c r="BW30" s="33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1"/>
      <c r="KL30" s="32"/>
      <c r="KM30" s="33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4"/>
    </row>
    <row r="31" spans="1:346" s="28" customFormat="1" ht="21.9" customHeight="1" thickBot="1">
      <c r="A31" s="232"/>
      <c r="B31" s="234" t="s">
        <v>83</v>
      </c>
      <c r="C31" s="200" t="s">
        <v>84</v>
      </c>
      <c r="D31" s="202" t="s">
        <v>72</v>
      </c>
      <c r="E31" s="61">
        <v>0</v>
      </c>
      <c r="F31" s="57">
        <f>F27</f>
        <v>45943</v>
      </c>
      <c r="G31" s="58">
        <f>F31+45</f>
        <v>45988</v>
      </c>
      <c r="H31" s="60" t="s">
        <v>49</v>
      </c>
      <c r="I31" s="21"/>
      <c r="J31" s="96">
        <f t="shared" si="87"/>
        <v>46</v>
      </c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1"/>
      <c r="BV31" s="32"/>
      <c r="BW31" s="33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1"/>
      <c r="KL31" s="32"/>
      <c r="KM31" s="33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4"/>
    </row>
    <row r="32" spans="1:346" s="28" customFormat="1" ht="21.9" customHeight="1" thickBot="1">
      <c r="A32" s="232"/>
      <c r="B32" s="199"/>
      <c r="C32" s="201"/>
      <c r="D32" s="203"/>
      <c r="E32" s="61">
        <v>0</v>
      </c>
      <c r="F32" s="57"/>
      <c r="G32" s="57"/>
      <c r="H32" s="59" t="s">
        <v>53</v>
      </c>
      <c r="I32" s="21"/>
      <c r="J32" s="96" t="str">
        <f t="shared" si="87"/>
        <v/>
      </c>
      <c r="K32" s="29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1"/>
      <c r="BV32" s="32"/>
      <c r="BW32" s="33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1"/>
      <c r="KL32" s="32"/>
      <c r="KM32" s="33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4"/>
    </row>
    <row r="33" spans="1:346" s="28" customFormat="1" ht="21.9" customHeight="1" thickBot="1">
      <c r="A33" s="232"/>
      <c r="B33" s="234" t="s">
        <v>85</v>
      </c>
      <c r="C33" s="200" t="s">
        <v>86</v>
      </c>
      <c r="D33" s="202" t="s">
        <v>72</v>
      </c>
      <c r="E33" s="61">
        <v>0</v>
      </c>
      <c r="F33" s="57">
        <f>G31-3</f>
        <v>45985</v>
      </c>
      <c r="G33" s="58">
        <f>F33+50</f>
        <v>46035</v>
      </c>
      <c r="H33" s="60" t="s">
        <v>49</v>
      </c>
      <c r="I33" s="21"/>
      <c r="J33" s="96">
        <f t="shared" si="87"/>
        <v>51</v>
      </c>
      <c r="K33" s="2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1"/>
      <c r="BV33" s="32"/>
      <c r="BW33" s="33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1"/>
      <c r="KL33" s="32"/>
      <c r="KM33" s="33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4"/>
    </row>
    <row r="34" spans="1:346" s="28" customFormat="1" ht="21.9" customHeight="1" thickBot="1">
      <c r="A34" s="232"/>
      <c r="B34" s="199"/>
      <c r="C34" s="201"/>
      <c r="D34" s="203"/>
      <c r="E34" s="61">
        <v>0</v>
      </c>
      <c r="F34" s="82"/>
      <c r="G34" s="83"/>
      <c r="H34" s="59" t="s">
        <v>53</v>
      </c>
      <c r="I34" s="21"/>
      <c r="J34" s="96" t="str">
        <f t="shared" si="87"/>
        <v/>
      </c>
      <c r="K34" s="29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1"/>
      <c r="BV34" s="32"/>
      <c r="BW34" s="33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1"/>
      <c r="KL34" s="32"/>
      <c r="KM34" s="33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4"/>
    </row>
    <row r="35" spans="1:346" s="28" customFormat="1" ht="21.9" customHeight="1" thickBot="1">
      <c r="A35" s="232"/>
      <c r="B35" s="240">
        <v>1.1499999999999999</v>
      </c>
      <c r="C35" s="241" t="s">
        <v>87</v>
      </c>
      <c r="D35" s="243" t="s">
        <v>69</v>
      </c>
      <c r="E35" s="61">
        <v>0</v>
      </c>
      <c r="F35" s="62">
        <f>G31+4</f>
        <v>45992</v>
      </c>
      <c r="G35" s="63">
        <f>F35+4</f>
        <v>45996</v>
      </c>
      <c r="H35" s="60" t="s">
        <v>49</v>
      </c>
      <c r="I35" s="21"/>
      <c r="J35" s="96">
        <f t="shared" si="87"/>
        <v>5</v>
      </c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1"/>
      <c r="BV35" s="32"/>
      <c r="BW35" s="33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1"/>
      <c r="KL35" s="32"/>
      <c r="KM35" s="33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4"/>
    </row>
    <row r="36" spans="1:346" s="28" customFormat="1" ht="21.9" customHeight="1" thickBot="1">
      <c r="A36" s="233"/>
      <c r="B36" s="247"/>
      <c r="C36" s="248"/>
      <c r="D36" s="249"/>
      <c r="E36" s="64">
        <v>0</v>
      </c>
      <c r="F36" s="67"/>
      <c r="G36" s="68"/>
      <c r="H36" s="69" t="s">
        <v>53</v>
      </c>
      <c r="I36" s="100"/>
      <c r="J36" s="98" t="str">
        <f t="shared" si="87"/>
        <v/>
      </c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1"/>
      <c r="BV36" s="32"/>
      <c r="BW36" s="33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1"/>
      <c r="KL36" s="32"/>
      <c r="KM36" s="33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4"/>
    </row>
    <row r="37" spans="1:346" s="28" customFormat="1" ht="21.9" customHeight="1" thickBot="1">
      <c r="A37" s="235" t="s">
        <v>88</v>
      </c>
      <c r="B37" s="246">
        <v>2.1</v>
      </c>
      <c r="C37" s="229" t="s">
        <v>89</v>
      </c>
      <c r="D37" s="245" t="s">
        <v>72</v>
      </c>
      <c r="E37" s="77">
        <v>0</v>
      </c>
      <c r="F37" s="54">
        <f>F25+3</f>
        <v>45915</v>
      </c>
      <c r="G37" s="55">
        <f>F37+45</f>
        <v>45960</v>
      </c>
      <c r="H37" s="56" t="s">
        <v>49</v>
      </c>
      <c r="I37" s="94"/>
      <c r="J37" s="95">
        <f t="shared" si="87"/>
        <v>46</v>
      </c>
      <c r="K37" s="29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6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1"/>
      <c r="BV37" s="32"/>
      <c r="BW37" s="33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6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1"/>
      <c r="KL37" s="32"/>
      <c r="KM37" s="33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4"/>
    </row>
    <row r="38" spans="1:346" s="28" customFormat="1" ht="21.9" customHeight="1" thickBot="1">
      <c r="A38" s="236"/>
      <c r="B38" s="199"/>
      <c r="C38" s="201"/>
      <c r="D38" s="203"/>
      <c r="E38" s="61">
        <v>0</v>
      </c>
      <c r="F38" s="57"/>
      <c r="G38" s="57"/>
      <c r="H38" s="59" t="s">
        <v>53</v>
      </c>
      <c r="I38" s="21"/>
      <c r="J38" s="96" t="str">
        <f t="shared" si="87"/>
        <v/>
      </c>
      <c r="K38" s="29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6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1"/>
      <c r="BV38" s="32"/>
      <c r="BW38" s="33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6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1"/>
      <c r="KL38" s="32"/>
      <c r="KM38" s="33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4"/>
    </row>
    <row r="39" spans="1:346" s="28" customFormat="1" ht="21.9" customHeight="1" thickBot="1">
      <c r="A39" s="236"/>
      <c r="B39" s="234">
        <v>2.2000000000000002</v>
      </c>
      <c r="C39" s="200" t="s">
        <v>90</v>
      </c>
      <c r="D39" s="238" t="s">
        <v>72</v>
      </c>
      <c r="E39" s="61">
        <v>0</v>
      </c>
      <c r="F39" s="57">
        <f>G37</f>
        <v>45960</v>
      </c>
      <c r="G39" s="58">
        <f>F39+15</f>
        <v>45975</v>
      </c>
      <c r="H39" s="60" t="s">
        <v>49</v>
      </c>
      <c r="I39" s="21"/>
      <c r="J39" s="96">
        <f t="shared" si="87"/>
        <v>16</v>
      </c>
      <c r="K39" s="29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6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1"/>
      <c r="BV39" s="32"/>
      <c r="BW39" s="33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6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1"/>
      <c r="KL39" s="32"/>
      <c r="KM39" s="33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4"/>
    </row>
    <row r="40" spans="1:346" s="28" customFormat="1" ht="21.9" customHeight="1" thickBot="1">
      <c r="A40" s="236"/>
      <c r="B40" s="199"/>
      <c r="C40" s="201"/>
      <c r="D40" s="203"/>
      <c r="E40" s="61">
        <v>0</v>
      </c>
      <c r="F40" s="57"/>
      <c r="G40" s="58"/>
      <c r="H40" s="59" t="s">
        <v>53</v>
      </c>
      <c r="I40" s="21"/>
      <c r="J40" s="96" t="str">
        <f t="shared" si="87"/>
        <v/>
      </c>
      <c r="K40" s="29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6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1"/>
      <c r="BV40" s="32"/>
      <c r="BW40" s="33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6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1"/>
      <c r="KL40" s="32"/>
      <c r="KM40" s="33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4"/>
    </row>
    <row r="41" spans="1:346" s="28" customFormat="1" ht="21.9" customHeight="1" thickBot="1">
      <c r="A41" s="236"/>
      <c r="B41" s="239">
        <v>2.2999999999999998</v>
      </c>
      <c r="C41" s="241" t="s">
        <v>91</v>
      </c>
      <c r="D41" s="243" t="s">
        <v>69</v>
      </c>
      <c r="E41" s="61">
        <v>0</v>
      </c>
      <c r="F41" s="62">
        <f>G39-4</f>
        <v>45971</v>
      </c>
      <c r="G41" s="63">
        <f>F41+7</f>
        <v>45978</v>
      </c>
      <c r="H41" s="60" t="s">
        <v>49</v>
      </c>
      <c r="I41" s="21"/>
      <c r="J41" s="96">
        <f t="shared" si="87"/>
        <v>8</v>
      </c>
      <c r="K41" s="29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6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1"/>
      <c r="BV41" s="32"/>
      <c r="BW41" s="33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6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1"/>
      <c r="KL41" s="32"/>
      <c r="KM41" s="33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4"/>
    </row>
    <row r="42" spans="1:346" s="28" customFormat="1" ht="21.9" customHeight="1" thickBot="1">
      <c r="A42" s="236"/>
      <c r="B42" s="240"/>
      <c r="C42" s="242"/>
      <c r="D42" s="244"/>
      <c r="E42" s="61">
        <v>0</v>
      </c>
      <c r="F42" s="62"/>
      <c r="G42" s="63"/>
      <c r="H42" s="59" t="s">
        <v>53</v>
      </c>
      <c r="I42" s="21"/>
      <c r="J42" s="96" t="str">
        <f t="shared" si="87"/>
        <v/>
      </c>
      <c r="K42" s="29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6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1"/>
      <c r="BV42" s="32"/>
      <c r="BW42" s="33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6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1"/>
      <c r="KL42" s="32"/>
      <c r="KM42" s="33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4"/>
    </row>
    <row r="43" spans="1:346" s="28" customFormat="1" ht="21.9" customHeight="1" thickBot="1">
      <c r="A43" s="236"/>
      <c r="B43" s="234">
        <v>2.4</v>
      </c>
      <c r="C43" s="200" t="s">
        <v>92</v>
      </c>
      <c r="D43" s="202" t="s">
        <v>72</v>
      </c>
      <c r="E43" s="61">
        <v>0</v>
      </c>
      <c r="F43" s="57">
        <f>G41+1</f>
        <v>45979</v>
      </c>
      <c r="G43" s="58">
        <f>F43+50</f>
        <v>46029</v>
      </c>
      <c r="H43" s="60" t="s">
        <v>49</v>
      </c>
      <c r="I43" s="21"/>
      <c r="J43" s="96">
        <f t="shared" si="87"/>
        <v>51</v>
      </c>
      <c r="K43" s="29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6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1"/>
      <c r="BV43" s="32"/>
      <c r="BW43" s="33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6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1"/>
      <c r="KL43" s="32"/>
      <c r="KM43" s="33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4"/>
    </row>
    <row r="44" spans="1:346" s="28" customFormat="1" ht="21.9" customHeight="1" thickBot="1">
      <c r="A44" s="236"/>
      <c r="B44" s="199"/>
      <c r="C44" s="201"/>
      <c r="D44" s="203"/>
      <c r="E44" s="61">
        <v>0</v>
      </c>
      <c r="F44" s="57"/>
      <c r="G44" s="58"/>
      <c r="H44" s="59" t="s">
        <v>53</v>
      </c>
      <c r="I44" s="21"/>
      <c r="J44" s="96" t="str">
        <f t="shared" si="87"/>
        <v/>
      </c>
      <c r="K44" s="29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6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1"/>
      <c r="BV44" s="32"/>
      <c r="BW44" s="33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6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1"/>
      <c r="KL44" s="32"/>
      <c r="KM44" s="33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4"/>
    </row>
    <row r="45" spans="1:346" s="28" customFormat="1" ht="21.9" customHeight="1" thickBot="1">
      <c r="A45" s="236"/>
      <c r="B45" s="234">
        <v>2.4</v>
      </c>
      <c r="C45" s="200" t="s">
        <v>93</v>
      </c>
      <c r="D45" s="202" t="s">
        <v>72</v>
      </c>
      <c r="E45" s="61">
        <v>0</v>
      </c>
      <c r="F45" s="57">
        <f>G43-2</f>
        <v>46027</v>
      </c>
      <c r="G45" s="58">
        <f>F45+10</f>
        <v>46037</v>
      </c>
      <c r="H45" s="60" t="s">
        <v>49</v>
      </c>
      <c r="I45" s="21"/>
      <c r="J45" s="96">
        <f t="shared" si="87"/>
        <v>11</v>
      </c>
      <c r="K45" s="29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6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1"/>
      <c r="BV45" s="32"/>
      <c r="BW45" s="33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6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1"/>
      <c r="KL45" s="32"/>
      <c r="KM45" s="33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4"/>
    </row>
    <row r="46" spans="1:346" s="28" customFormat="1" ht="21.9" customHeight="1" thickBot="1">
      <c r="A46" s="236"/>
      <c r="B46" s="199"/>
      <c r="C46" s="201"/>
      <c r="D46" s="203"/>
      <c r="E46" s="61">
        <v>0</v>
      </c>
      <c r="F46" s="57"/>
      <c r="G46" s="58"/>
      <c r="H46" s="59" t="s">
        <v>53</v>
      </c>
      <c r="I46" s="21"/>
      <c r="J46" s="96" t="str">
        <f t="shared" si="87"/>
        <v/>
      </c>
      <c r="K46" s="29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6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1"/>
      <c r="BV46" s="32"/>
      <c r="BW46" s="33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6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1"/>
      <c r="KL46" s="32"/>
      <c r="KM46" s="33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4"/>
    </row>
    <row r="47" spans="1:346" s="28" customFormat="1" ht="21.9" customHeight="1" thickBot="1">
      <c r="A47" s="236"/>
      <c r="B47" s="239">
        <v>2.5</v>
      </c>
      <c r="C47" s="241" t="s">
        <v>94</v>
      </c>
      <c r="D47" s="243" t="s">
        <v>69</v>
      </c>
      <c r="E47" s="61">
        <v>0</v>
      </c>
      <c r="F47" s="62">
        <f>G45</f>
        <v>46037</v>
      </c>
      <c r="G47" s="63">
        <f>F47+4</f>
        <v>46041</v>
      </c>
      <c r="H47" s="60" t="s">
        <v>49</v>
      </c>
      <c r="I47" s="21"/>
      <c r="J47" s="96">
        <f t="shared" si="87"/>
        <v>5</v>
      </c>
      <c r="K47" s="29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6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1"/>
      <c r="BV47" s="32"/>
      <c r="BW47" s="33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6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1"/>
      <c r="KL47" s="32"/>
      <c r="KM47" s="33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4"/>
    </row>
    <row r="48" spans="1:346" s="28" customFormat="1" ht="21.9" customHeight="1" thickBot="1">
      <c r="A48" s="236"/>
      <c r="B48" s="240"/>
      <c r="C48" s="242"/>
      <c r="D48" s="244"/>
      <c r="E48" s="61">
        <v>0</v>
      </c>
      <c r="F48" s="62"/>
      <c r="G48" s="63"/>
      <c r="H48" s="59" t="s">
        <v>53</v>
      </c>
      <c r="I48" s="21"/>
      <c r="J48" s="96" t="str">
        <f t="shared" si="87"/>
        <v/>
      </c>
      <c r="K48" s="29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6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1"/>
      <c r="BV48" s="32"/>
      <c r="BW48" s="33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6"/>
      <c r="IR48" s="30"/>
      <c r="IS48" s="30"/>
      <c r="IT48" s="30"/>
      <c r="IU48" s="30"/>
      <c r="IV48" s="30"/>
      <c r="IW48" s="30"/>
      <c r="IX48" s="30"/>
      <c r="IY48" s="30"/>
      <c r="IZ48" s="30"/>
      <c r="JA48" s="30"/>
      <c r="JB48" s="30"/>
      <c r="JC48" s="30"/>
      <c r="JD48" s="30"/>
      <c r="JE48" s="30"/>
      <c r="JF48" s="30"/>
      <c r="JG48" s="30"/>
      <c r="JH48" s="30"/>
      <c r="JI48" s="30"/>
      <c r="JJ48" s="30"/>
      <c r="JK48" s="30"/>
      <c r="JL48" s="30"/>
      <c r="JM48" s="30"/>
      <c r="JN48" s="30"/>
      <c r="JO48" s="30"/>
      <c r="JP48" s="30"/>
      <c r="JQ48" s="30"/>
      <c r="JR48" s="30"/>
      <c r="JS48" s="30"/>
      <c r="JT48" s="30"/>
      <c r="JU48" s="30"/>
      <c r="JV48" s="30"/>
      <c r="JW48" s="30"/>
      <c r="JX48" s="30"/>
      <c r="JY48" s="30"/>
      <c r="JZ48" s="30"/>
      <c r="KA48" s="30"/>
      <c r="KB48" s="30"/>
      <c r="KC48" s="30"/>
      <c r="KD48" s="30"/>
      <c r="KE48" s="30"/>
      <c r="KF48" s="30"/>
      <c r="KG48" s="30"/>
      <c r="KH48" s="30"/>
      <c r="KI48" s="30"/>
      <c r="KJ48" s="30"/>
      <c r="KK48" s="31"/>
      <c r="KL48" s="32"/>
      <c r="KM48" s="33"/>
      <c r="KN48" s="30"/>
      <c r="KO48" s="30"/>
      <c r="KP48" s="30"/>
      <c r="KQ48" s="30"/>
      <c r="KR48" s="30"/>
      <c r="KS48" s="30"/>
      <c r="KT48" s="30"/>
      <c r="KU48" s="30"/>
      <c r="KV48" s="30"/>
      <c r="KW48" s="30"/>
      <c r="KX48" s="30"/>
      <c r="KY48" s="30"/>
      <c r="KZ48" s="30"/>
      <c r="LA48" s="30"/>
      <c r="LB48" s="30"/>
      <c r="LC48" s="30"/>
      <c r="LD48" s="30"/>
      <c r="LE48" s="30"/>
      <c r="LF48" s="30"/>
      <c r="LG48" s="30"/>
      <c r="LH48" s="30"/>
      <c r="LI48" s="30"/>
      <c r="LJ48" s="30"/>
      <c r="LK48" s="30"/>
      <c r="LL48" s="30"/>
      <c r="LM48" s="30"/>
      <c r="LN48" s="30"/>
      <c r="LO48" s="30"/>
      <c r="LP48" s="30"/>
      <c r="LQ48" s="30"/>
      <c r="LR48" s="30"/>
      <c r="LS48" s="30"/>
      <c r="LT48" s="30"/>
      <c r="LU48" s="30"/>
      <c r="LV48" s="30"/>
      <c r="LW48" s="30"/>
      <c r="LX48" s="30"/>
      <c r="LY48" s="30"/>
      <c r="LZ48" s="30"/>
      <c r="MA48" s="30"/>
      <c r="MB48" s="30"/>
      <c r="MC48" s="30"/>
      <c r="MD48" s="30"/>
      <c r="ME48" s="30"/>
      <c r="MF48" s="30"/>
      <c r="MG48" s="30"/>
      <c r="MH48" s="34"/>
    </row>
    <row r="49" spans="1:346" s="28" customFormat="1" ht="21.9" customHeight="1" thickBot="1">
      <c r="A49" s="236"/>
      <c r="B49" s="234">
        <v>2.6</v>
      </c>
      <c r="C49" s="200" t="s">
        <v>95</v>
      </c>
      <c r="D49" s="202" t="s">
        <v>72</v>
      </c>
      <c r="E49" s="61">
        <v>0</v>
      </c>
      <c r="F49" s="57">
        <f>G47+1</f>
        <v>46042</v>
      </c>
      <c r="G49" s="58">
        <f>F49+20</f>
        <v>46062</v>
      </c>
      <c r="H49" s="60" t="s">
        <v>49</v>
      </c>
      <c r="I49" s="21"/>
      <c r="J49" s="96">
        <f t="shared" si="87"/>
        <v>21</v>
      </c>
      <c r="K49" s="29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6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1"/>
      <c r="BV49" s="32"/>
      <c r="BW49" s="33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6"/>
      <c r="IR49" s="30"/>
      <c r="IS49" s="30"/>
      <c r="IT49" s="30"/>
      <c r="IU49" s="30"/>
      <c r="IV49" s="30"/>
      <c r="IW49" s="30"/>
      <c r="IX49" s="30"/>
      <c r="IY49" s="30"/>
      <c r="IZ49" s="30"/>
      <c r="JA49" s="30"/>
      <c r="JB49" s="30"/>
      <c r="JC49" s="30"/>
      <c r="JD49" s="30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1"/>
      <c r="KL49" s="32"/>
      <c r="KM49" s="33"/>
      <c r="KN49" s="30"/>
      <c r="KO49" s="30"/>
      <c r="KP49" s="30"/>
      <c r="KQ49" s="30"/>
      <c r="KR49" s="30"/>
      <c r="KS49" s="30"/>
      <c r="KT49" s="30"/>
      <c r="KU49" s="30"/>
      <c r="KV49" s="30"/>
      <c r="KW49" s="30"/>
      <c r="KX49" s="30"/>
      <c r="KY49" s="30"/>
      <c r="KZ49" s="30"/>
      <c r="LA49" s="30"/>
      <c r="LB49" s="30"/>
      <c r="LC49" s="30"/>
      <c r="LD49" s="30"/>
      <c r="LE49" s="30"/>
      <c r="LF49" s="30"/>
      <c r="LG49" s="30"/>
      <c r="LH49" s="30"/>
      <c r="LI49" s="30"/>
      <c r="LJ49" s="30"/>
      <c r="LK49" s="30"/>
      <c r="LL49" s="30"/>
      <c r="LM49" s="30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30"/>
      <c r="LY49" s="30"/>
      <c r="LZ49" s="30"/>
      <c r="MA49" s="30"/>
      <c r="MB49" s="30"/>
      <c r="MC49" s="30"/>
      <c r="MD49" s="30"/>
      <c r="ME49" s="30"/>
      <c r="MF49" s="30"/>
      <c r="MG49" s="30"/>
      <c r="MH49" s="34"/>
    </row>
    <row r="50" spans="1:346" s="28" customFormat="1" ht="21.9" customHeight="1" thickBot="1">
      <c r="A50" s="236"/>
      <c r="B50" s="199"/>
      <c r="C50" s="201"/>
      <c r="D50" s="203"/>
      <c r="E50" s="61">
        <v>0</v>
      </c>
      <c r="F50" s="57"/>
      <c r="G50" s="58"/>
      <c r="H50" s="59" t="s">
        <v>53</v>
      </c>
      <c r="I50" s="21"/>
      <c r="J50" s="96" t="str">
        <f t="shared" si="87"/>
        <v/>
      </c>
      <c r="K50" s="29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6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1"/>
      <c r="BV50" s="32"/>
      <c r="BW50" s="33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6"/>
      <c r="IR50" s="30"/>
      <c r="IS50" s="30"/>
      <c r="IT50" s="30"/>
      <c r="IU50" s="30"/>
      <c r="IV50" s="30"/>
      <c r="IW50" s="30"/>
      <c r="IX50" s="30"/>
      <c r="IY50" s="30"/>
      <c r="IZ50" s="30"/>
      <c r="JA50" s="30"/>
      <c r="JB50" s="30"/>
      <c r="JC50" s="30"/>
      <c r="JD50" s="30"/>
      <c r="JE50" s="30"/>
      <c r="JF50" s="30"/>
      <c r="JG50" s="30"/>
      <c r="JH50" s="30"/>
      <c r="JI50" s="30"/>
      <c r="JJ50" s="30"/>
      <c r="JK50" s="30"/>
      <c r="JL50" s="30"/>
      <c r="JM50" s="30"/>
      <c r="JN50" s="30"/>
      <c r="JO50" s="30"/>
      <c r="JP50" s="30"/>
      <c r="JQ50" s="30"/>
      <c r="JR50" s="30"/>
      <c r="JS50" s="30"/>
      <c r="JT50" s="30"/>
      <c r="JU50" s="30"/>
      <c r="JV50" s="30"/>
      <c r="JW50" s="30"/>
      <c r="JX50" s="30"/>
      <c r="JY50" s="30"/>
      <c r="JZ50" s="30"/>
      <c r="KA50" s="30"/>
      <c r="KB50" s="30"/>
      <c r="KC50" s="30"/>
      <c r="KD50" s="30"/>
      <c r="KE50" s="30"/>
      <c r="KF50" s="30"/>
      <c r="KG50" s="30"/>
      <c r="KH50" s="30"/>
      <c r="KI50" s="30"/>
      <c r="KJ50" s="30"/>
      <c r="KK50" s="31"/>
      <c r="KL50" s="32"/>
      <c r="KM50" s="33"/>
      <c r="KN50" s="30"/>
      <c r="KO50" s="30"/>
      <c r="KP50" s="30"/>
      <c r="KQ50" s="30"/>
      <c r="KR50" s="30"/>
      <c r="KS50" s="30"/>
      <c r="KT50" s="30"/>
      <c r="KU50" s="30"/>
      <c r="KV50" s="30"/>
      <c r="KW50" s="30"/>
      <c r="KX50" s="30"/>
      <c r="KY50" s="30"/>
      <c r="KZ50" s="30"/>
      <c r="LA50" s="30"/>
      <c r="LB50" s="30"/>
      <c r="LC50" s="30"/>
      <c r="LD50" s="30"/>
      <c r="LE50" s="30"/>
      <c r="LF50" s="30"/>
      <c r="LG50" s="30"/>
      <c r="LH50" s="30"/>
      <c r="LI50" s="30"/>
      <c r="LJ50" s="30"/>
      <c r="LK50" s="30"/>
      <c r="LL50" s="30"/>
      <c r="LM50" s="30"/>
      <c r="LN50" s="30"/>
      <c r="LO50" s="30"/>
      <c r="LP50" s="30"/>
      <c r="LQ50" s="30"/>
      <c r="LR50" s="30"/>
      <c r="LS50" s="30"/>
      <c r="LT50" s="30"/>
      <c r="LU50" s="30"/>
      <c r="LV50" s="30"/>
      <c r="LW50" s="30"/>
      <c r="LX50" s="30"/>
      <c r="LY50" s="30"/>
      <c r="LZ50" s="30"/>
      <c r="MA50" s="30"/>
      <c r="MB50" s="30"/>
      <c r="MC50" s="30"/>
      <c r="MD50" s="30"/>
      <c r="ME50" s="30"/>
      <c r="MF50" s="30"/>
      <c r="MG50" s="30"/>
      <c r="MH50" s="34"/>
    </row>
    <row r="51" spans="1:346" s="28" customFormat="1" ht="21.9" customHeight="1" thickBot="1">
      <c r="A51" s="236"/>
      <c r="B51" s="234">
        <v>2.7</v>
      </c>
      <c r="C51" s="200" t="s">
        <v>96</v>
      </c>
      <c r="D51" s="202" t="s">
        <v>72</v>
      </c>
      <c r="E51" s="53">
        <v>0</v>
      </c>
      <c r="F51" s="57">
        <f>G49</f>
        <v>46062</v>
      </c>
      <c r="G51" s="58">
        <f>F51+15</f>
        <v>46077</v>
      </c>
      <c r="H51" s="60" t="s">
        <v>49</v>
      </c>
      <c r="I51" s="21"/>
      <c r="J51" s="96">
        <f t="shared" si="87"/>
        <v>16</v>
      </c>
      <c r="K51" s="29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6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1"/>
      <c r="BV51" s="32"/>
      <c r="BW51" s="33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6"/>
      <c r="IR51" s="30"/>
      <c r="IS51" s="30"/>
      <c r="IT51" s="30"/>
      <c r="IU51" s="30"/>
      <c r="IV51" s="30"/>
      <c r="IW51" s="30"/>
      <c r="IX51" s="30"/>
      <c r="IY51" s="30"/>
      <c r="IZ51" s="30"/>
      <c r="JA51" s="30"/>
      <c r="JB51" s="30"/>
      <c r="JC51" s="30"/>
      <c r="JD51" s="30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/>
      <c r="KD51" s="30"/>
      <c r="KE51" s="30"/>
      <c r="KF51" s="30"/>
      <c r="KG51" s="30"/>
      <c r="KH51" s="30"/>
      <c r="KI51" s="30"/>
      <c r="KJ51" s="30"/>
      <c r="KK51" s="31"/>
      <c r="KL51" s="32"/>
      <c r="KM51" s="33"/>
      <c r="KN51" s="30"/>
      <c r="KO51" s="30"/>
      <c r="KP51" s="30"/>
      <c r="KQ51" s="30"/>
      <c r="KR51" s="30"/>
      <c r="KS51" s="30"/>
      <c r="KT51" s="30"/>
      <c r="KU51" s="30"/>
      <c r="KV51" s="30"/>
      <c r="KW51" s="30"/>
      <c r="KX51" s="30"/>
      <c r="KY51" s="30"/>
      <c r="KZ51" s="30"/>
      <c r="LA51" s="30"/>
      <c r="LB51" s="30"/>
      <c r="LC51" s="30"/>
      <c r="LD51" s="30"/>
      <c r="LE51" s="30"/>
      <c r="LF51" s="30"/>
      <c r="LG51" s="30"/>
      <c r="LH51" s="30"/>
      <c r="LI51" s="30"/>
      <c r="LJ51" s="30"/>
      <c r="LK51" s="30"/>
      <c r="LL51" s="30"/>
      <c r="LM51" s="30"/>
      <c r="LN51" s="30"/>
      <c r="LO51" s="30"/>
      <c r="LP51" s="30"/>
      <c r="LQ51" s="30"/>
      <c r="LR51" s="30"/>
      <c r="LS51" s="30"/>
      <c r="LT51" s="30"/>
      <c r="LU51" s="30"/>
      <c r="LV51" s="30"/>
      <c r="LW51" s="30"/>
      <c r="LX51" s="30"/>
      <c r="LY51" s="30"/>
      <c r="LZ51" s="30"/>
      <c r="MA51" s="30"/>
      <c r="MB51" s="30"/>
      <c r="MC51" s="30"/>
      <c r="MD51" s="30"/>
      <c r="ME51" s="30"/>
      <c r="MF51" s="30"/>
      <c r="MG51" s="30"/>
      <c r="MH51" s="34"/>
    </row>
    <row r="52" spans="1:346" s="28" customFormat="1" ht="21.9" customHeight="1" thickBot="1">
      <c r="A52" s="236"/>
      <c r="B52" s="199"/>
      <c r="C52" s="201"/>
      <c r="D52" s="203"/>
      <c r="E52" s="53">
        <v>0</v>
      </c>
      <c r="F52" s="57"/>
      <c r="G52" s="58"/>
      <c r="H52" s="59" t="s">
        <v>53</v>
      </c>
      <c r="I52" s="21"/>
      <c r="J52" s="96" t="str">
        <f t="shared" si="87"/>
        <v/>
      </c>
      <c r="K52" s="29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6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1"/>
      <c r="BV52" s="32"/>
      <c r="BW52" s="33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6"/>
      <c r="IR52" s="30"/>
      <c r="IS52" s="30"/>
      <c r="IT52" s="30"/>
      <c r="IU52" s="30"/>
      <c r="IV52" s="30"/>
      <c r="IW52" s="30"/>
      <c r="IX52" s="30"/>
      <c r="IY52" s="30"/>
      <c r="IZ52" s="30"/>
      <c r="JA52" s="30"/>
      <c r="JB52" s="30"/>
      <c r="JC52" s="30"/>
      <c r="JD52" s="30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  <c r="KH52" s="30"/>
      <c r="KI52" s="30"/>
      <c r="KJ52" s="30"/>
      <c r="KK52" s="31"/>
      <c r="KL52" s="32"/>
      <c r="KM52" s="33"/>
      <c r="KN52" s="30"/>
      <c r="KO52" s="30"/>
      <c r="KP52" s="30"/>
      <c r="KQ52" s="30"/>
      <c r="KR52" s="30"/>
      <c r="KS52" s="30"/>
      <c r="KT52" s="30"/>
      <c r="KU52" s="30"/>
      <c r="KV52" s="30"/>
      <c r="KW52" s="30"/>
      <c r="KX52" s="30"/>
      <c r="KY52" s="30"/>
      <c r="KZ52" s="30"/>
      <c r="LA52" s="30"/>
      <c r="LB52" s="30"/>
      <c r="LC52" s="30"/>
      <c r="LD52" s="30"/>
      <c r="LE52" s="30"/>
      <c r="LF52" s="30"/>
      <c r="LG52" s="30"/>
      <c r="LH52" s="30"/>
      <c r="LI52" s="30"/>
      <c r="LJ52" s="30"/>
      <c r="LK52" s="30"/>
      <c r="LL52" s="30"/>
      <c r="LM52" s="30"/>
      <c r="LN52" s="30"/>
      <c r="LO52" s="30"/>
      <c r="LP52" s="30"/>
      <c r="LQ52" s="30"/>
      <c r="LR52" s="30"/>
      <c r="LS52" s="30"/>
      <c r="LT52" s="30"/>
      <c r="LU52" s="30"/>
      <c r="LV52" s="30"/>
      <c r="LW52" s="30"/>
      <c r="LX52" s="30"/>
      <c r="LY52" s="30"/>
      <c r="LZ52" s="30"/>
      <c r="MA52" s="30"/>
      <c r="MB52" s="30"/>
      <c r="MC52" s="30"/>
      <c r="MD52" s="30"/>
      <c r="ME52" s="30"/>
      <c r="MF52" s="30"/>
      <c r="MG52" s="30"/>
      <c r="MH52" s="34"/>
    </row>
    <row r="53" spans="1:346" s="28" customFormat="1" ht="21.9" customHeight="1" thickBot="1">
      <c r="A53" s="236"/>
      <c r="B53" s="234">
        <v>2.8</v>
      </c>
      <c r="C53" s="200" t="s">
        <v>97</v>
      </c>
      <c r="D53" s="202" t="s">
        <v>72</v>
      </c>
      <c r="E53" s="53">
        <v>0</v>
      </c>
      <c r="F53" s="57">
        <f>G51+1</f>
        <v>46078</v>
      </c>
      <c r="G53" s="58">
        <f>F53+15</f>
        <v>46093</v>
      </c>
      <c r="H53" s="60" t="s">
        <v>49</v>
      </c>
      <c r="I53" s="21"/>
      <c r="J53" s="96">
        <f t="shared" si="87"/>
        <v>16</v>
      </c>
      <c r="K53" s="29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6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1"/>
      <c r="BV53" s="32"/>
      <c r="BW53" s="33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6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1"/>
      <c r="KL53" s="32"/>
      <c r="KM53" s="33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  <c r="LL53" s="30"/>
      <c r="LM53" s="30"/>
      <c r="LN53" s="30"/>
      <c r="LO53" s="30"/>
      <c r="LP53" s="30"/>
      <c r="LQ53" s="30"/>
      <c r="LR53" s="30"/>
      <c r="LS53" s="30"/>
      <c r="LT53" s="30"/>
      <c r="LU53" s="30"/>
      <c r="LV53" s="30"/>
      <c r="LW53" s="30"/>
      <c r="LX53" s="30"/>
      <c r="LY53" s="30"/>
      <c r="LZ53" s="30"/>
      <c r="MA53" s="30"/>
      <c r="MB53" s="30"/>
      <c r="MC53" s="30"/>
      <c r="MD53" s="30"/>
      <c r="ME53" s="30"/>
      <c r="MF53" s="30"/>
      <c r="MG53" s="30"/>
      <c r="MH53" s="34"/>
    </row>
    <row r="54" spans="1:346" s="28" customFormat="1" ht="21.9" customHeight="1" thickBot="1">
      <c r="A54" s="236"/>
      <c r="B54" s="199"/>
      <c r="C54" s="201"/>
      <c r="D54" s="203"/>
      <c r="E54" s="53">
        <v>0</v>
      </c>
      <c r="F54" s="57"/>
      <c r="G54" s="58"/>
      <c r="H54" s="59" t="s">
        <v>53</v>
      </c>
      <c r="I54" s="21"/>
      <c r="J54" s="96" t="str">
        <f t="shared" si="87"/>
        <v/>
      </c>
      <c r="K54" s="29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6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1"/>
      <c r="BV54" s="32"/>
      <c r="BW54" s="33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6"/>
      <c r="IR54" s="30"/>
      <c r="IS54" s="30"/>
      <c r="IT54" s="30"/>
      <c r="IU54" s="30"/>
      <c r="IV54" s="30"/>
      <c r="IW54" s="30"/>
      <c r="IX54" s="30"/>
      <c r="IY54" s="30"/>
      <c r="IZ54" s="30"/>
      <c r="JA54" s="30"/>
      <c r="JB54" s="30"/>
      <c r="JC54" s="30"/>
      <c r="JD54" s="30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1"/>
      <c r="KL54" s="32"/>
      <c r="KM54" s="33"/>
      <c r="KN54" s="30"/>
      <c r="KO54" s="30"/>
      <c r="KP54" s="30"/>
      <c r="KQ54" s="30"/>
      <c r="KR54" s="30"/>
      <c r="KS54" s="30"/>
      <c r="KT54" s="30"/>
      <c r="KU54" s="30"/>
      <c r="KV54" s="30"/>
      <c r="KW54" s="30"/>
      <c r="KX54" s="30"/>
      <c r="KY54" s="30"/>
      <c r="KZ54" s="30"/>
      <c r="LA54" s="30"/>
      <c r="LB54" s="30"/>
      <c r="LC54" s="30"/>
      <c r="LD54" s="30"/>
      <c r="LE54" s="30"/>
      <c r="LF54" s="30"/>
      <c r="LG54" s="30"/>
      <c r="LH54" s="30"/>
      <c r="LI54" s="30"/>
      <c r="LJ54" s="30"/>
      <c r="LK54" s="30"/>
      <c r="LL54" s="30"/>
      <c r="LM54" s="30"/>
      <c r="LN54" s="30"/>
      <c r="LO54" s="30"/>
      <c r="LP54" s="30"/>
      <c r="LQ54" s="30"/>
      <c r="LR54" s="30"/>
      <c r="LS54" s="30"/>
      <c r="LT54" s="30"/>
      <c r="LU54" s="30"/>
      <c r="LV54" s="30"/>
      <c r="LW54" s="30"/>
      <c r="LX54" s="30"/>
      <c r="LY54" s="30"/>
      <c r="LZ54" s="30"/>
      <c r="MA54" s="30"/>
      <c r="MB54" s="30"/>
      <c r="MC54" s="30"/>
      <c r="MD54" s="30"/>
      <c r="ME54" s="30"/>
      <c r="MF54" s="30"/>
      <c r="MG54" s="30"/>
      <c r="MH54" s="34"/>
    </row>
    <row r="55" spans="1:346" s="28" customFormat="1" ht="21.9" customHeight="1" thickBot="1">
      <c r="A55" s="236"/>
      <c r="B55" s="239">
        <v>2.8</v>
      </c>
      <c r="C55" s="241" t="s">
        <v>98</v>
      </c>
      <c r="D55" s="243" t="s">
        <v>69</v>
      </c>
      <c r="E55" s="61">
        <v>0</v>
      </c>
      <c r="F55" s="62">
        <f>G53+1</f>
        <v>46094</v>
      </c>
      <c r="G55" s="63">
        <f>F55+15</f>
        <v>46109</v>
      </c>
      <c r="H55" s="60" t="s">
        <v>49</v>
      </c>
      <c r="I55" s="21"/>
      <c r="J55" s="96">
        <f t="shared" si="87"/>
        <v>16</v>
      </c>
      <c r="K55" s="29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6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1"/>
      <c r="BV55" s="32"/>
      <c r="BW55" s="33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6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1"/>
      <c r="KL55" s="32"/>
      <c r="KM55" s="33"/>
      <c r="KN55" s="30"/>
      <c r="KO55" s="30"/>
      <c r="KP55" s="30"/>
      <c r="KQ55" s="30"/>
      <c r="KR55" s="30"/>
      <c r="KS55" s="30"/>
      <c r="KT55" s="30"/>
      <c r="KU55" s="30"/>
      <c r="KV55" s="30"/>
      <c r="KW55" s="30"/>
      <c r="KX55" s="30"/>
      <c r="KY55" s="30"/>
      <c r="KZ55" s="30"/>
      <c r="LA55" s="30"/>
      <c r="LB55" s="30"/>
      <c r="LC55" s="30"/>
      <c r="LD55" s="30"/>
      <c r="LE55" s="30"/>
      <c r="LF55" s="30"/>
      <c r="LG55" s="30"/>
      <c r="LH55" s="30"/>
      <c r="LI55" s="30"/>
      <c r="LJ55" s="30"/>
      <c r="LK55" s="30"/>
      <c r="LL55" s="30"/>
      <c r="LM55" s="30"/>
      <c r="LN55" s="30"/>
      <c r="LO55" s="30"/>
      <c r="LP55" s="30"/>
      <c r="LQ55" s="30"/>
      <c r="LR55" s="30"/>
      <c r="LS55" s="30"/>
      <c r="LT55" s="30"/>
      <c r="LU55" s="30"/>
      <c r="LV55" s="30"/>
      <c r="LW55" s="30"/>
      <c r="LX55" s="30"/>
      <c r="LY55" s="30"/>
      <c r="LZ55" s="30"/>
      <c r="MA55" s="30"/>
      <c r="MB55" s="30"/>
      <c r="MC55" s="30"/>
      <c r="MD55" s="30"/>
      <c r="ME55" s="30"/>
      <c r="MF55" s="30"/>
      <c r="MG55" s="30"/>
      <c r="MH55" s="34"/>
    </row>
    <row r="56" spans="1:346" s="28" customFormat="1" ht="21.9" customHeight="1" thickBot="1">
      <c r="A56" s="237"/>
      <c r="B56" s="247"/>
      <c r="C56" s="248"/>
      <c r="D56" s="249"/>
      <c r="E56" s="64">
        <v>0</v>
      </c>
      <c r="F56" s="67"/>
      <c r="G56" s="68"/>
      <c r="H56" s="69" t="s">
        <v>53</v>
      </c>
      <c r="I56" s="100"/>
      <c r="J56" s="98" t="str">
        <f t="shared" si="87"/>
        <v/>
      </c>
      <c r="K56" s="29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6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1"/>
      <c r="BV56" s="32"/>
      <c r="BW56" s="33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6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1"/>
      <c r="KL56" s="32"/>
      <c r="KM56" s="33"/>
      <c r="KN56" s="30"/>
      <c r="KO56" s="30"/>
      <c r="KP56" s="30"/>
      <c r="KQ56" s="30"/>
      <c r="KR56" s="30"/>
      <c r="KS56" s="30"/>
      <c r="KT56" s="30"/>
      <c r="KU56" s="30"/>
      <c r="KV56" s="30"/>
      <c r="KW56" s="30"/>
      <c r="KX56" s="30"/>
      <c r="KY56" s="30"/>
      <c r="KZ56" s="30"/>
      <c r="LA56" s="30"/>
      <c r="LB56" s="30"/>
      <c r="LC56" s="30"/>
      <c r="LD56" s="30"/>
      <c r="LE56" s="30"/>
      <c r="LF56" s="30"/>
      <c r="LG56" s="30"/>
      <c r="LH56" s="30"/>
      <c r="LI56" s="30"/>
      <c r="LJ56" s="30"/>
      <c r="LK56" s="30"/>
      <c r="LL56" s="30"/>
      <c r="LM56" s="30"/>
      <c r="LN56" s="30"/>
      <c r="LO56" s="30"/>
      <c r="LP56" s="30"/>
      <c r="LQ56" s="30"/>
      <c r="LR56" s="30"/>
      <c r="LS56" s="30"/>
      <c r="LT56" s="30"/>
      <c r="LU56" s="30"/>
      <c r="LV56" s="30"/>
      <c r="LW56" s="30"/>
      <c r="LX56" s="30"/>
      <c r="LY56" s="30"/>
      <c r="LZ56" s="30"/>
      <c r="MA56" s="30"/>
      <c r="MB56" s="30"/>
      <c r="MC56" s="30"/>
      <c r="MD56" s="30"/>
      <c r="ME56" s="30"/>
      <c r="MF56" s="30"/>
      <c r="MG56" s="30"/>
      <c r="MH56" s="34"/>
    </row>
    <row r="57" spans="1:346" s="28" customFormat="1" ht="21.9" customHeight="1" thickBot="1">
      <c r="A57" s="265" t="s">
        <v>99</v>
      </c>
      <c r="B57" s="246">
        <v>3.1</v>
      </c>
      <c r="C57" s="229" t="s">
        <v>100</v>
      </c>
      <c r="D57" s="230" t="s">
        <v>72</v>
      </c>
      <c r="E57" s="77">
        <v>0</v>
      </c>
      <c r="F57" s="90">
        <v>45971</v>
      </c>
      <c r="G57" s="55">
        <f>F57+60</f>
        <v>46031</v>
      </c>
      <c r="H57" s="56" t="s">
        <v>49</v>
      </c>
      <c r="I57" s="94"/>
      <c r="J57" s="95">
        <f t="shared" si="87"/>
        <v>61</v>
      </c>
      <c r="K57" s="29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6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1"/>
      <c r="BV57" s="32"/>
      <c r="BW57" s="33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6"/>
      <c r="IR57" s="30"/>
      <c r="IS57" s="30"/>
      <c r="IT57" s="30"/>
      <c r="IU57" s="30"/>
      <c r="IV57" s="30"/>
      <c r="IW57" s="30"/>
      <c r="IX57" s="30"/>
      <c r="IY57" s="30"/>
      <c r="IZ57" s="30"/>
      <c r="JA57" s="30"/>
      <c r="JB57" s="30"/>
      <c r="JC57" s="30"/>
      <c r="JD57" s="30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1"/>
      <c r="KL57" s="32"/>
      <c r="KM57" s="33"/>
      <c r="KN57" s="30"/>
      <c r="KO57" s="30"/>
      <c r="KP57" s="30"/>
      <c r="KQ57" s="30"/>
      <c r="KR57" s="30"/>
      <c r="KS57" s="30"/>
      <c r="KT57" s="30"/>
      <c r="KU57" s="30"/>
      <c r="KV57" s="30"/>
      <c r="KW57" s="30"/>
      <c r="KX57" s="30"/>
      <c r="KY57" s="30"/>
      <c r="KZ57" s="30"/>
      <c r="LA57" s="30"/>
      <c r="LB57" s="30"/>
      <c r="LC57" s="30"/>
      <c r="LD57" s="30"/>
      <c r="LE57" s="30"/>
      <c r="LF57" s="30"/>
      <c r="LG57" s="30"/>
      <c r="LH57" s="30"/>
      <c r="LI57" s="30"/>
      <c r="LJ57" s="30"/>
      <c r="LK57" s="30"/>
      <c r="LL57" s="30"/>
      <c r="LM57" s="30"/>
      <c r="LN57" s="30"/>
      <c r="LO57" s="30"/>
      <c r="LP57" s="30"/>
      <c r="LQ57" s="30"/>
      <c r="LR57" s="30"/>
      <c r="LS57" s="30"/>
      <c r="LT57" s="30"/>
      <c r="LU57" s="30"/>
      <c r="LV57" s="30"/>
      <c r="LW57" s="30"/>
      <c r="LX57" s="30"/>
      <c r="LY57" s="30"/>
      <c r="LZ57" s="30"/>
      <c r="MA57" s="30"/>
      <c r="MB57" s="30"/>
      <c r="MC57" s="30"/>
      <c r="MD57" s="30"/>
      <c r="ME57" s="30"/>
      <c r="MF57" s="30"/>
      <c r="MG57" s="30"/>
      <c r="MH57" s="34"/>
    </row>
    <row r="58" spans="1:346" s="28" customFormat="1" ht="21.9" customHeight="1" thickBot="1">
      <c r="A58" s="266"/>
      <c r="B58" s="199"/>
      <c r="C58" s="201"/>
      <c r="D58" s="205"/>
      <c r="E58" s="61">
        <v>0</v>
      </c>
      <c r="F58" s="73"/>
      <c r="G58" s="74"/>
      <c r="H58" s="59" t="s">
        <v>53</v>
      </c>
      <c r="I58" s="21"/>
      <c r="J58" s="96" t="str">
        <f t="shared" si="87"/>
        <v/>
      </c>
      <c r="K58" s="29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6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1"/>
      <c r="BV58" s="32"/>
      <c r="BW58" s="33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6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1"/>
      <c r="KL58" s="32"/>
      <c r="KM58" s="33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4"/>
    </row>
    <row r="59" spans="1:346" s="28" customFormat="1" ht="21.9" customHeight="1" thickBot="1">
      <c r="A59" s="266"/>
      <c r="B59" s="234">
        <v>3.2</v>
      </c>
      <c r="C59" s="200" t="s">
        <v>101</v>
      </c>
      <c r="D59" s="238" t="s">
        <v>72</v>
      </c>
      <c r="E59" s="61">
        <v>0</v>
      </c>
      <c r="F59" s="70">
        <f>G23+21</f>
        <v>45948</v>
      </c>
      <c r="G59" s="71">
        <f>F59+120</f>
        <v>46068</v>
      </c>
      <c r="H59" s="72" t="s">
        <v>49</v>
      </c>
      <c r="I59" s="35"/>
      <c r="J59" s="96">
        <f t="shared" si="87"/>
        <v>121</v>
      </c>
      <c r="K59" s="29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6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1"/>
      <c r="BV59" s="32"/>
      <c r="BW59" s="33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6"/>
      <c r="IR59" s="30"/>
      <c r="IS59" s="30"/>
      <c r="IT59" s="30"/>
      <c r="IU59" s="30"/>
      <c r="IV59" s="30"/>
      <c r="IW59" s="30"/>
      <c r="IX59" s="30"/>
      <c r="IY59" s="30"/>
      <c r="IZ59" s="30"/>
      <c r="JA59" s="30"/>
      <c r="JB59" s="30"/>
      <c r="JC59" s="30"/>
      <c r="JD59" s="30"/>
      <c r="JE59" s="30"/>
      <c r="JF59" s="30"/>
      <c r="JG59" s="30"/>
      <c r="JH59" s="30"/>
      <c r="JI59" s="30"/>
      <c r="JJ59" s="30"/>
      <c r="JK59" s="30"/>
      <c r="JL59" s="30"/>
      <c r="JM59" s="30"/>
      <c r="JN59" s="30"/>
      <c r="JO59" s="30"/>
      <c r="JP59" s="30"/>
      <c r="JQ59" s="30"/>
      <c r="JR59" s="30"/>
      <c r="JS59" s="30"/>
      <c r="JT59" s="30"/>
      <c r="JU59" s="30"/>
      <c r="JV59" s="30"/>
      <c r="JW59" s="30"/>
      <c r="JX59" s="30"/>
      <c r="JY59" s="30"/>
      <c r="JZ59" s="30"/>
      <c r="KA59" s="30"/>
      <c r="KB59" s="30"/>
      <c r="KC59" s="30"/>
      <c r="KD59" s="30"/>
      <c r="KE59" s="30"/>
      <c r="KF59" s="30"/>
      <c r="KG59" s="30"/>
      <c r="KH59" s="30"/>
      <c r="KI59" s="30"/>
      <c r="KJ59" s="30"/>
      <c r="KK59" s="31"/>
      <c r="KL59" s="32"/>
      <c r="KM59" s="33"/>
      <c r="KN59" s="30"/>
      <c r="KO59" s="30"/>
      <c r="KP59" s="30"/>
      <c r="KQ59" s="30"/>
      <c r="KR59" s="30"/>
      <c r="KS59" s="30"/>
      <c r="KT59" s="30"/>
      <c r="KU59" s="30"/>
      <c r="KV59" s="30"/>
      <c r="KW59" s="30"/>
      <c r="KX59" s="30"/>
      <c r="KY59" s="30"/>
      <c r="KZ59" s="30"/>
      <c r="LA59" s="30"/>
      <c r="LB59" s="30"/>
      <c r="LC59" s="30"/>
      <c r="LD59" s="30"/>
      <c r="LE59" s="30"/>
      <c r="LF59" s="30"/>
      <c r="LG59" s="30"/>
      <c r="LH59" s="30"/>
      <c r="LI59" s="30"/>
      <c r="LJ59" s="30"/>
      <c r="LK59" s="30"/>
      <c r="LL59" s="30"/>
      <c r="LM59" s="30"/>
      <c r="LN59" s="30"/>
      <c r="LO59" s="30"/>
      <c r="LP59" s="30"/>
      <c r="LQ59" s="30"/>
      <c r="LR59" s="30"/>
      <c r="LS59" s="30"/>
      <c r="LT59" s="30"/>
      <c r="LU59" s="30"/>
      <c r="LV59" s="30"/>
      <c r="LW59" s="30"/>
      <c r="LX59" s="30"/>
      <c r="LY59" s="30"/>
      <c r="LZ59" s="30"/>
      <c r="MA59" s="30"/>
      <c r="MB59" s="30"/>
      <c r="MC59" s="30"/>
      <c r="MD59" s="30"/>
      <c r="ME59" s="30"/>
      <c r="MF59" s="30"/>
      <c r="MG59" s="30"/>
      <c r="MH59" s="34"/>
    </row>
    <row r="60" spans="1:346" s="28" customFormat="1" ht="21.9" customHeight="1" thickBot="1">
      <c r="A60" s="266"/>
      <c r="B60" s="199"/>
      <c r="C60" s="201"/>
      <c r="D60" s="203"/>
      <c r="E60" s="61">
        <v>0</v>
      </c>
      <c r="F60" s="73"/>
      <c r="G60" s="58"/>
      <c r="H60" s="59" t="s">
        <v>53</v>
      </c>
      <c r="I60" s="21"/>
      <c r="J60" s="96" t="str">
        <f t="shared" si="87"/>
        <v/>
      </c>
      <c r="K60" s="29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6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1"/>
      <c r="BV60" s="32"/>
      <c r="BW60" s="33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6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1"/>
      <c r="KL60" s="32"/>
      <c r="KM60" s="33"/>
      <c r="KN60" s="30"/>
      <c r="KO60" s="30"/>
      <c r="KP60" s="30"/>
      <c r="KQ60" s="30"/>
      <c r="KR60" s="30"/>
      <c r="KS60" s="30"/>
      <c r="KT60" s="30"/>
      <c r="KU60" s="30"/>
      <c r="KV60" s="30"/>
      <c r="KW60" s="30"/>
      <c r="KX60" s="30"/>
      <c r="KY60" s="30"/>
      <c r="KZ60" s="30"/>
      <c r="LA60" s="30"/>
      <c r="LB60" s="30"/>
      <c r="LC60" s="30"/>
      <c r="LD60" s="30"/>
      <c r="LE60" s="30"/>
      <c r="LF60" s="30"/>
      <c r="LG60" s="30"/>
      <c r="LH60" s="30"/>
      <c r="LI60" s="30"/>
      <c r="LJ60" s="30"/>
      <c r="LK60" s="30"/>
      <c r="LL60" s="30"/>
      <c r="LM60" s="30"/>
      <c r="LN60" s="30"/>
      <c r="LO60" s="30"/>
      <c r="LP60" s="30"/>
      <c r="LQ60" s="30"/>
      <c r="LR60" s="30"/>
      <c r="LS60" s="30"/>
      <c r="LT60" s="30"/>
      <c r="LU60" s="30"/>
      <c r="LV60" s="30"/>
      <c r="LW60" s="30"/>
      <c r="LX60" s="30"/>
      <c r="LY60" s="30"/>
      <c r="LZ60" s="30"/>
      <c r="MA60" s="30"/>
      <c r="MB60" s="30"/>
      <c r="MC60" s="30"/>
      <c r="MD60" s="30"/>
      <c r="ME60" s="30"/>
      <c r="MF60" s="30"/>
      <c r="MG60" s="30"/>
      <c r="MH60" s="34"/>
    </row>
    <row r="61" spans="1:346" s="28" customFormat="1" ht="21.9" customHeight="1" thickBot="1">
      <c r="A61" s="266"/>
      <c r="B61" s="234">
        <v>3.12</v>
      </c>
      <c r="C61" s="200" t="s">
        <v>102</v>
      </c>
      <c r="D61" s="202" t="s">
        <v>72</v>
      </c>
      <c r="E61" s="61">
        <v>0</v>
      </c>
      <c r="F61" s="73">
        <v>46001</v>
      </c>
      <c r="G61" s="58">
        <v>46037</v>
      </c>
      <c r="H61" s="60" t="s">
        <v>49</v>
      </c>
      <c r="I61" s="21"/>
      <c r="J61" s="96">
        <f t="shared" si="87"/>
        <v>37</v>
      </c>
      <c r="K61" s="29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6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1"/>
      <c r="BV61" s="32"/>
      <c r="BW61" s="33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6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1"/>
      <c r="KL61" s="32"/>
      <c r="KM61" s="33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4"/>
    </row>
    <row r="62" spans="1:346" s="28" customFormat="1" ht="21.9" customHeight="1" thickBot="1">
      <c r="A62" s="266"/>
      <c r="B62" s="199"/>
      <c r="C62" s="201"/>
      <c r="D62" s="203"/>
      <c r="E62" s="61">
        <v>0</v>
      </c>
      <c r="F62" s="73"/>
      <c r="G62" s="58"/>
      <c r="H62" s="59" t="s">
        <v>53</v>
      </c>
      <c r="I62" s="21"/>
      <c r="J62" s="96" t="str">
        <f t="shared" si="87"/>
        <v/>
      </c>
      <c r="K62" s="29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6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1"/>
      <c r="BV62" s="32"/>
      <c r="BW62" s="33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/>
      <c r="IN62" s="30"/>
      <c r="IO62" s="30"/>
      <c r="IP62" s="30"/>
      <c r="IQ62" s="36"/>
      <c r="IR62" s="30"/>
      <c r="IS62" s="30"/>
      <c r="IT62" s="30"/>
      <c r="IU62" s="30"/>
      <c r="IV62" s="30"/>
      <c r="IW62" s="30"/>
      <c r="IX62" s="30"/>
      <c r="IY62" s="30"/>
      <c r="IZ62" s="30"/>
      <c r="JA62" s="30"/>
      <c r="JB62" s="30"/>
      <c r="JC62" s="30"/>
      <c r="JD62" s="30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1"/>
      <c r="KL62" s="32"/>
      <c r="KM62" s="33"/>
      <c r="KN62" s="30"/>
      <c r="KO62" s="30"/>
      <c r="KP62" s="30"/>
      <c r="KQ62" s="30"/>
      <c r="KR62" s="30"/>
      <c r="KS62" s="30"/>
      <c r="KT62" s="30"/>
      <c r="KU62" s="30"/>
      <c r="KV62" s="30"/>
      <c r="KW62" s="30"/>
      <c r="KX62" s="30"/>
      <c r="KY62" s="30"/>
      <c r="KZ62" s="30"/>
      <c r="LA62" s="30"/>
      <c r="LB62" s="30"/>
      <c r="LC62" s="30"/>
      <c r="LD62" s="30"/>
      <c r="LE62" s="30"/>
      <c r="LF62" s="30"/>
      <c r="LG62" s="30"/>
      <c r="LH62" s="30"/>
      <c r="LI62" s="30"/>
      <c r="LJ62" s="30"/>
      <c r="LK62" s="30"/>
      <c r="LL62" s="30"/>
      <c r="LM62" s="30"/>
      <c r="LN62" s="30"/>
      <c r="LO62" s="30"/>
      <c r="LP62" s="30"/>
      <c r="LQ62" s="30"/>
      <c r="LR62" s="30"/>
      <c r="LS62" s="30"/>
      <c r="LT62" s="30"/>
      <c r="LU62" s="30"/>
      <c r="LV62" s="30"/>
      <c r="LW62" s="30"/>
      <c r="LX62" s="30"/>
      <c r="LY62" s="30"/>
      <c r="LZ62" s="30"/>
      <c r="MA62" s="30"/>
      <c r="MB62" s="30"/>
      <c r="MC62" s="30"/>
      <c r="MD62" s="30"/>
      <c r="ME62" s="30"/>
      <c r="MF62" s="30"/>
      <c r="MG62" s="30"/>
      <c r="MH62" s="34"/>
    </row>
    <row r="63" spans="1:346" s="28" customFormat="1" ht="21.9" customHeight="1" thickBot="1">
      <c r="A63" s="266"/>
      <c r="B63" s="234">
        <v>3.13</v>
      </c>
      <c r="C63" s="200" t="s">
        <v>103</v>
      </c>
      <c r="D63" s="202" t="s">
        <v>72</v>
      </c>
      <c r="E63" s="61">
        <v>0</v>
      </c>
      <c r="F63" s="73">
        <v>46028</v>
      </c>
      <c r="G63" s="58">
        <v>46059</v>
      </c>
      <c r="H63" s="60" t="s">
        <v>49</v>
      </c>
      <c r="I63" s="21"/>
      <c r="J63" s="96">
        <f t="shared" si="87"/>
        <v>32</v>
      </c>
      <c r="K63" s="29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6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1"/>
      <c r="BV63" s="32"/>
      <c r="BW63" s="33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/>
      <c r="IN63" s="30"/>
      <c r="IO63" s="30"/>
      <c r="IP63" s="30"/>
      <c r="IQ63" s="36"/>
      <c r="IR63" s="30"/>
      <c r="IS63" s="30"/>
      <c r="IT63" s="30"/>
      <c r="IU63" s="30"/>
      <c r="IV63" s="30"/>
      <c r="IW63" s="30"/>
      <c r="IX63" s="30"/>
      <c r="IY63" s="30"/>
      <c r="IZ63" s="30"/>
      <c r="JA63" s="30"/>
      <c r="JB63" s="30"/>
      <c r="JC63" s="30"/>
      <c r="JD63" s="30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1"/>
      <c r="KL63" s="32"/>
      <c r="KM63" s="33"/>
      <c r="KN63" s="30"/>
      <c r="KO63" s="30"/>
      <c r="KP63" s="30"/>
      <c r="KQ63" s="30"/>
      <c r="KR63" s="30"/>
      <c r="KS63" s="30"/>
      <c r="KT63" s="30"/>
      <c r="KU63" s="30"/>
      <c r="KV63" s="30"/>
      <c r="KW63" s="30"/>
      <c r="KX63" s="30"/>
      <c r="KY63" s="30"/>
      <c r="KZ63" s="30"/>
      <c r="LA63" s="30"/>
      <c r="LB63" s="30"/>
      <c r="LC63" s="30"/>
      <c r="LD63" s="30"/>
      <c r="LE63" s="30"/>
      <c r="LF63" s="30"/>
      <c r="LG63" s="30"/>
      <c r="LH63" s="30"/>
      <c r="LI63" s="30"/>
      <c r="LJ63" s="30"/>
      <c r="LK63" s="30"/>
      <c r="LL63" s="30"/>
      <c r="LM63" s="30"/>
      <c r="LN63" s="30"/>
      <c r="LO63" s="30"/>
      <c r="LP63" s="30"/>
      <c r="LQ63" s="30"/>
      <c r="LR63" s="30"/>
      <c r="LS63" s="30"/>
      <c r="LT63" s="30"/>
      <c r="LU63" s="30"/>
      <c r="LV63" s="30"/>
      <c r="LW63" s="30"/>
      <c r="LX63" s="30"/>
      <c r="LY63" s="30"/>
      <c r="LZ63" s="30"/>
      <c r="MA63" s="30"/>
      <c r="MB63" s="30"/>
      <c r="MC63" s="30"/>
      <c r="MD63" s="30"/>
      <c r="ME63" s="30"/>
      <c r="MF63" s="30"/>
      <c r="MG63" s="30"/>
      <c r="MH63" s="34"/>
    </row>
    <row r="64" spans="1:346" s="28" customFormat="1" ht="21.9" customHeight="1" thickBot="1">
      <c r="A64" s="266"/>
      <c r="B64" s="199"/>
      <c r="C64" s="201"/>
      <c r="D64" s="203"/>
      <c r="E64" s="61">
        <v>0</v>
      </c>
      <c r="F64" s="73"/>
      <c r="G64" s="58"/>
      <c r="H64" s="59" t="s">
        <v>53</v>
      </c>
      <c r="I64" s="21"/>
      <c r="J64" s="96" t="str">
        <f t="shared" si="87"/>
        <v/>
      </c>
      <c r="K64" s="29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6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1"/>
      <c r="BV64" s="32"/>
      <c r="BW64" s="33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6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1"/>
      <c r="KL64" s="32"/>
      <c r="KM64" s="33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4"/>
    </row>
    <row r="65" spans="1:346" s="28" customFormat="1" ht="21.9" customHeight="1" thickBot="1">
      <c r="A65" s="266"/>
      <c r="B65" s="234">
        <v>3.14</v>
      </c>
      <c r="C65" s="200" t="s">
        <v>104</v>
      </c>
      <c r="D65" s="202" t="s">
        <v>72</v>
      </c>
      <c r="E65" s="61">
        <v>0</v>
      </c>
      <c r="F65" s="73">
        <f>F63+21</f>
        <v>46049</v>
      </c>
      <c r="G65" s="58">
        <f>G63+7</f>
        <v>46066</v>
      </c>
      <c r="H65" s="60" t="s">
        <v>49</v>
      </c>
      <c r="I65" s="21"/>
      <c r="J65" s="96">
        <f t="shared" si="87"/>
        <v>18</v>
      </c>
      <c r="K65" s="29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6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1"/>
      <c r="BV65" s="32"/>
      <c r="BW65" s="33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6"/>
      <c r="IR65" s="30"/>
      <c r="IS65" s="30"/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1"/>
      <c r="KL65" s="32"/>
      <c r="KM65" s="33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/>
      <c r="KY65" s="30"/>
      <c r="KZ65" s="30"/>
      <c r="LA65" s="30"/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4"/>
    </row>
    <row r="66" spans="1:346" s="28" customFormat="1" ht="21.9" customHeight="1" thickBot="1">
      <c r="A66" s="266"/>
      <c r="B66" s="199"/>
      <c r="C66" s="201"/>
      <c r="D66" s="203"/>
      <c r="E66" s="61">
        <v>0</v>
      </c>
      <c r="F66" s="73"/>
      <c r="G66" s="58"/>
      <c r="H66" s="59" t="s">
        <v>53</v>
      </c>
      <c r="I66" s="21"/>
      <c r="J66" s="96" t="str">
        <f t="shared" si="87"/>
        <v/>
      </c>
      <c r="K66" s="29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6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1"/>
      <c r="BV66" s="32"/>
      <c r="BW66" s="33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6"/>
      <c r="IR66" s="30"/>
      <c r="IS66" s="30"/>
      <c r="IT66" s="30"/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/>
      <c r="KA66" s="30"/>
      <c r="KB66" s="30"/>
      <c r="KC66" s="30"/>
      <c r="KD66" s="30"/>
      <c r="KE66" s="30"/>
      <c r="KF66" s="30"/>
      <c r="KG66" s="30"/>
      <c r="KH66" s="30"/>
      <c r="KI66" s="30"/>
      <c r="KJ66" s="30"/>
      <c r="KK66" s="31"/>
      <c r="KL66" s="32"/>
      <c r="KM66" s="33"/>
      <c r="KN66" s="30"/>
      <c r="KO66" s="30"/>
      <c r="KP66" s="30"/>
      <c r="KQ66" s="30"/>
      <c r="KR66" s="30"/>
      <c r="KS66" s="30"/>
      <c r="KT66" s="30"/>
      <c r="KU66" s="30"/>
      <c r="KV66" s="30"/>
      <c r="KW66" s="30"/>
      <c r="KX66" s="30"/>
      <c r="KY66" s="30"/>
      <c r="KZ66" s="30"/>
      <c r="LA66" s="30"/>
      <c r="LB66" s="30"/>
      <c r="LC66" s="30"/>
      <c r="LD66" s="30"/>
      <c r="LE66" s="30"/>
      <c r="LF66" s="30"/>
      <c r="LG66" s="30"/>
      <c r="LH66" s="30"/>
      <c r="LI66" s="30"/>
      <c r="LJ66" s="30"/>
      <c r="LK66" s="30"/>
      <c r="LL66" s="30"/>
      <c r="LM66" s="30"/>
      <c r="LN66" s="30"/>
      <c r="LO66" s="30"/>
      <c r="LP66" s="30"/>
      <c r="LQ66" s="30"/>
      <c r="LR66" s="30"/>
      <c r="LS66" s="30"/>
      <c r="LT66" s="30"/>
      <c r="LU66" s="30"/>
      <c r="LV66" s="30"/>
      <c r="LW66" s="30"/>
      <c r="LX66" s="30"/>
      <c r="LY66" s="30"/>
      <c r="LZ66" s="30"/>
      <c r="MA66" s="30"/>
      <c r="MB66" s="30"/>
      <c r="MC66" s="30"/>
      <c r="MD66" s="30"/>
      <c r="ME66" s="30"/>
      <c r="MF66" s="30"/>
      <c r="MG66" s="30"/>
      <c r="MH66" s="34"/>
    </row>
    <row r="67" spans="1:346" s="28" customFormat="1" ht="21.9" customHeight="1" thickBot="1">
      <c r="A67" s="266"/>
      <c r="B67" s="234">
        <v>3.15</v>
      </c>
      <c r="C67" s="200" t="s">
        <v>105</v>
      </c>
      <c r="D67" s="204" t="s">
        <v>72</v>
      </c>
      <c r="E67" s="61">
        <v>0</v>
      </c>
      <c r="F67" s="73">
        <v>46063</v>
      </c>
      <c r="G67" s="58">
        <v>46071</v>
      </c>
      <c r="H67" s="60" t="s">
        <v>49</v>
      </c>
      <c r="I67" s="21"/>
      <c r="J67" s="96">
        <f t="shared" si="87"/>
        <v>9</v>
      </c>
      <c r="K67" s="29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6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1"/>
      <c r="BV67" s="32"/>
      <c r="BW67" s="33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/>
      <c r="IN67" s="30"/>
      <c r="IO67" s="30"/>
      <c r="IP67" s="30"/>
      <c r="IQ67" s="36"/>
      <c r="IR67" s="30"/>
      <c r="IS67" s="30"/>
      <c r="IT67" s="30"/>
      <c r="IU67" s="30"/>
      <c r="IV67" s="30"/>
      <c r="IW67" s="30"/>
      <c r="IX67" s="30"/>
      <c r="IY67" s="30"/>
      <c r="IZ67" s="30"/>
      <c r="JA67" s="30"/>
      <c r="JB67" s="30"/>
      <c r="JC67" s="30"/>
      <c r="JD67" s="30"/>
      <c r="JE67" s="30"/>
      <c r="JF67" s="30"/>
      <c r="JG67" s="30"/>
      <c r="JH67" s="30"/>
      <c r="JI67" s="30"/>
      <c r="JJ67" s="30"/>
      <c r="JK67" s="30"/>
      <c r="JL67" s="30"/>
      <c r="JM67" s="30"/>
      <c r="JN67" s="30"/>
      <c r="JO67" s="30"/>
      <c r="JP67" s="30"/>
      <c r="JQ67" s="30"/>
      <c r="JR67" s="30"/>
      <c r="JS67" s="30"/>
      <c r="JT67" s="30"/>
      <c r="JU67" s="30"/>
      <c r="JV67" s="30"/>
      <c r="JW67" s="30"/>
      <c r="JX67" s="30"/>
      <c r="JY67" s="30"/>
      <c r="JZ67" s="30"/>
      <c r="KA67" s="30"/>
      <c r="KB67" s="30"/>
      <c r="KC67" s="30"/>
      <c r="KD67" s="30"/>
      <c r="KE67" s="30"/>
      <c r="KF67" s="30"/>
      <c r="KG67" s="30"/>
      <c r="KH67" s="30"/>
      <c r="KI67" s="30"/>
      <c r="KJ67" s="30"/>
      <c r="KK67" s="31"/>
      <c r="KL67" s="32"/>
      <c r="KM67" s="33"/>
      <c r="KN67" s="30"/>
      <c r="KO67" s="30"/>
      <c r="KP67" s="30"/>
      <c r="KQ67" s="30"/>
      <c r="KR67" s="30"/>
      <c r="KS67" s="30"/>
      <c r="KT67" s="30"/>
      <c r="KU67" s="30"/>
      <c r="KV67" s="30"/>
      <c r="KW67" s="30"/>
      <c r="KX67" s="30"/>
      <c r="KY67" s="30"/>
      <c r="KZ67" s="30"/>
      <c r="LA67" s="30"/>
      <c r="LB67" s="30"/>
      <c r="LC67" s="30"/>
      <c r="LD67" s="30"/>
      <c r="LE67" s="30"/>
      <c r="LF67" s="30"/>
      <c r="LG67" s="30"/>
      <c r="LH67" s="30"/>
      <c r="LI67" s="30"/>
      <c r="LJ67" s="30"/>
      <c r="LK67" s="30"/>
      <c r="LL67" s="30"/>
      <c r="LM67" s="30"/>
      <c r="LN67" s="30"/>
      <c r="LO67" s="30"/>
      <c r="LP67" s="30"/>
      <c r="LQ67" s="30"/>
      <c r="LR67" s="30"/>
      <c r="LS67" s="30"/>
      <c r="LT67" s="30"/>
      <c r="LU67" s="30"/>
      <c r="LV67" s="30"/>
      <c r="LW67" s="30"/>
      <c r="LX67" s="30"/>
      <c r="LY67" s="30"/>
      <c r="LZ67" s="30"/>
      <c r="MA67" s="30"/>
      <c r="MB67" s="30"/>
      <c r="MC67" s="30"/>
      <c r="MD67" s="30"/>
      <c r="ME67" s="30"/>
      <c r="MF67" s="30"/>
      <c r="MG67" s="30"/>
      <c r="MH67" s="34"/>
    </row>
    <row r="68" spans="1:346" s="28" customFormat="1" ht="21.9" customHeight="1" thickBot="1">
      <c r="A68" s="267"/>
      <c r="B68" s="258"/>
      <c r="C68" s="259"/>
      <c r="D68" s="257"/>
      <c r="E68" s="64">
        <v>0</v>
      </c>
      <c r="F68" s="75"/>
      <c r="G68" s="76"/>
      <c r="H68" s="69" t="s">
        <v>53</v>
      </c>
      <c r="I68" s="100"/>
      <c r="J68" s="98" t="str">
        <f t="shared" si="87"/>
        <v/>
      </c>
      <c r="K68" s="29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6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1"/>
      <c r="BV68" s="32"/>
      <c r="BW68" s="33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6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1"/>
      <c r="KL68" s="32"/>
      <c r="KM68" s="33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4"/>
    </row>
    <row r="69" spans="1:346" s="28" customFormat="1" ht="21.9" customHeight="1" thickBot="1">
      <c r="A69" s="268" t="s">
        <v>106</v>
      </c>
      <c r="B69" s="263">
        <v>4.0999999999999996</v>
      </c>
      <c r="C69" s="264" t="s">
        <v>107</v>
      </c>
      <c r="D69" s="256" t="s">
        <v>69</v>
      </c>
      <c r="E69" s="87">
        <v>0</v>
      </c>
      <c r="F69" s="88">
        <f>G67-8</f>
        <v>46063</v>
      </c>
      <c r="G69" s="89">
        <f>G67+1</f>
        <v>46072</v>
      </c>
      <c r="H69" s="72" t="s">
        <v>49</v>
      </c>
      <c r="I69" s="99"/>
      <c r="J69" s="99">
        <f t="shared" si="87"/>
        <v>10</v>
      </c>
      <c r="K69" s="29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6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1"/>
      <c r="BV69" s="32"/>
      <c r="BW69" s="33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6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1"/>
      <c r="KL69" s="32"/>
      <c r="KM69" s="33"/>
      <c r="KN69" s="30"/>
      <c r="KO69" s="30"/>
      <c r="KP69" s="30"/>
      <c r="KQ69" s="30"/>
      <c r="KR69" s="30"/>
      <c r="KS69" s="30"/>
      <c r="KT69" s="30"/>
      <c r="KU69" s="30"/>
      <c r="KV69" s="30"/>
      <c r="KW69" s="30"/>
      <c r="KX69" s="30"/>
      <c r="KY69" s="30"/>
      <c r="KZ69" s="30"/>
      <c r="LA69" s="30"/>
      <c r="LB69" s="30"/>
      <c r="LC69" s="30"/>
      <c r="LD69" s="30"/>
      <c r="LE69" s="30"/>
      <c r="LF69" s="30"/>
      <c r="LG69" s="30"/>
      <c r="LH69" s="30"/>
      <c r="LI69" s="30"/>
      <c r="LJ69" s="30"/>
      <c r="LK69" s="30"/>
      <c r="LL69" s="30"/>
      <c r="LM69" s="30"/>
      <c r="LN69" s="30"/>
      <c r="LO69" s="30"/>
      <c r="LP69" s="30"/>
      <c r="LQ69" s="30"/>
      <c r="LR69" s="30"/>
      <c r="LS69" s="30"/>
      <c r="LT69" s="30"/>
      <c r="LU69" s="30"/>
      <c r="LV69" s="30"/>
      <c r="LW69" s="30"/>
      <c r="LX69" s="30"/>
      <c r="LY69" s="30"/>
      <c r="LZ69" s="30"/>
      <c r="MA69" s="30"/>
      <c r="MB69" s="30"/>
      <c r="MC69" s="30"/>
      <c r="MD69" s="30"/>
      <c r="ME69" s="30"/>
      <c r="MF69" s="30"/>
      <c r="MG69" s="30"/>
      <c r="MH69" s="34"/>
    </row>
    <row r="70" spans="1:346" s="28" customFormat="1" ht="21.9" customHeight="1" thickBot="1">
      <c r="A70" s="268"/>
      <c r="B70" s="240"/>
      <c r="C70" s="242"/>
      <c r="D70" s="244"/>
      <c r="E70" s="61">
        <v>0</v>
      </c>
      <c r="F70" s="78"/>
      <c r="G70" s="63"/>
      <c r="H70" s="59" t="s">
        <v>53</v>
      </c>
      <c r="I70" s="35"/>
      <c r="J70" s="21" t="str">
        <f t="shared" si="87"/>
        <v/>
      </c>
      <c r="K70" s="29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6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1"/>
      <c r="BV70" s="32"/>
      <c r="BW70" s="33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/>
      <c r="IN70" s="30"/>
      <c r="IO70" s="30"/>
      <c r="IP70" s="30"/>
      <c r="IQ70" s="36"/>
      <c r="IR70" s="30"/>
      <c r="IS70" s="30"/>
      <c r="IT70" s="30"/>
      <c r="IU70" s="30"/>
      <c r="IV70" s="30"/>
      <c r="IW70" s="30"/>
      <c r="IX70" s="30"/>
      <c r="IY70" s="30"/>
      <c r="IZ70" s="30"/>
      <c r="JA70" s="30"/>
      <c r="JB70" s="30"/>
      <c r="JC70" s="30"/>
      <c r="JD70" s="30"/>
      <c r="JE70" s="30"/>
      <c r="JF70" s="30"/>
      <c r="JG70" s="30"/>
      <c r="JH70" s="30"/>
      <c r="JI70" s="30"/>
      <c r="JJ70" s="30"/>
      <c r="JK70" s="30"/>
      <c r="JL70" s="30"/>
      <c r="JM70" s="30"/>
      <c r="JN70" s="30"/>
      <c r="JO70" s="30"/>
      <c r="JP70" s="30"/>
      <c r="JQ70" s="30"/>
      <c r="JR70" s="30"/>
      <c r="JS70" s="30"/>
      <c r="JT70" s="30"/>
      <c r="JU70" s="30"/>
      <c r="JV70" s="30"/>
      <c r="JW70" s="30"/>
      <c r="JX70" s="30"/>
      <c r="JY70" s="30"/>
      <c r="JZ70" s="30"/>
      <c r="KA70" s="30"/>
      <c r="KB70" s="30"/>
      <c r="KC70" s="30"/>
      <c r="KD70" s="30"/>
      <c r="KE70" s="30"/>
      <c r="KF70" s="30"/>
      <c r="KG70" s="30"/>
      <c r="KH70" s="30"/>
      <c r="KI70" s="30"/>
      <c r="KJ70" s="30"/>
      <c r="KK70" s="31"/>
      <c r="KL70" s="32"/>
      <c r="KM70" s="33"/>
      <c r="KN70" s="30"/>
      <c r="KO70" s="30"/>
      <c r="KP70" s="30"/>
      <c r="KQ70" s="30"/>
      <c r="KR70" s="30"/>
      <c r="KS70" s="30"/>
      <c r="KT70" s="30"/>
      <c r="KU70" s="30"/>
      <c r="KV70" s="30"/>
      <c r="KW70" s="30"/>
      <c r="KX70" s="30"/>
      <c r="KY70" s="30"/>
      <c r="KZ70" s="30"/>
      <c r="LA70" s="30"/>
      <c r="LB70" s="30"/>
      <c r="LC70" s="30"/>
      <c r="LD70" s="30"/>
      <c r="LE70" s="30"/>
      <c r="LF70" s="30"/>
      <c r="LG70" s="30"/>
      <c r="LH70" s="30"/>
      <c r="LI70" s="30"/>
      <c r="LJ70" s="30"/>
      <c r="LK70" s="30"/>
      <c r="LL70" s="30"/>
      <c r="LM70" s="30"/>
      <c r="LN70" s="30"/>
      <c r="LO70" s="30"/>
      <c r="LP70" s="30"/>
      <c r="LQ70" s="30"/>
      <c r="LR70" s="30"/>
      <c r="LS70" s="30"/>
      <c r="LT70" s="30"/>
      <c r="LU70" s="30"/>
      <c r="LV70" s="30"/>
      <c r="LW70" s="30"/>
      <c r="LX70" s="30"/>
      <c r="LY70" s="30"/>
      <c r="LZ70" s="30"/>
      <c r="MA70" s="30"/>
      <c r="MB70" s="30"/>
      <c r="MC70" s="30"/>
      <c r="MD70" s="30"/>
      <c r="ME70" s="30"/>
      <c r="MF70" s="30"/>
      <c r="MG70" s="30"/>
      <c r="MH70" s="34"/>
    </row>
    <row r="71" spans="1:346" s="28" customFormat="1" ht="21.9" customHeight="1" thickBot="1">
      <c r="A71" s="268"/>
      <c r="B71" s="234">
        <v>4.2</v>
      </c>
      <c r="C71" s="200" t="s">
        <v>108</v>
      </c>
      <c r="D71" s="204" t="s">
        <v>69</v>
      </c>
      <c r="E71" s="61">
        <v>0</v>
      </c>
      <c r="F71" s="73">
        <f>G69-2</f>
        <v>46070</v>
      </c>
      <c r="G71" s="58">
        <f>G69</f>
        <v>46072</v>
      </c>
      <c r="H71" s="60" t="s">
        <v>49</v>
      </c>
      <c r="I71" s="21"/>
      <c r="J71" s="21">
        <f t="shared" si="87"/>
        <v>3</v>
      </c>
      <c r="K71" s="29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6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1"/>
      <c r="BV71" s="32"/>
      <c r="BW71" s="33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0"/>
      <c r="HL71" s="30"/>
      <c r="HM71" s="30"/>
      <c r="HN71" s="30"/>
      <c r="HO71" s="30"/>
      <c r="HP71" s="30"/>
      <c r="HQ71" s="30"/>
      <c r="HR71" s="30"/>
      <c r="HS71" s="30"/>
      <c r="HT71" s="30"/>
      <c r="HU71" s="30"/>
      <c r="HV71" s="30"/>
      <c r="HW71" s="30"/>
      <c r="HX71" s="30"/>
      <c r="HY71" s="30"/>
      <c r="HZ71" s="30"/>
      <c r="IA71" s="30"/>
      <c r="IB71" s="30"/>
      <c r="IC71" s="30"/>
      <c r="ID71" s="30"/>
      <c r="IE71" s="30"/>
      <c r="IF71" s="30"/>
      <c r="IG71" s="30"/>
      <c r="IH71" s="30"/>
      <c r="II71" s="30"/>
      <c r="IJ71" s="30"/>
      <c r="IK71" s="30"/>
      <c r="IL71" s="30"/>
      <c r="IM71" s="30"/>
      <c r="IN71" s="30"/>
      <c r="IO71" s="30"/>
      <c r="IP71" s="30"/>
      <c r="IQ71" s="36"/>
      <c r="IR71" s="30"/>
      <c r="IS71" s="30"/>
      <c r="IT71" s="30"/>
      <c r="IU71" s="30"/>
      <c r="IV71" s="30"/>
      <c r="IW71" s="30"/>
      <c r="IX71" s="30"/>
      <c r="IY71" s="30"/>
      <c r="IZ71" s="30"/>
      <c r="JA71" s="30"/>
      <c r="JB71" s="30"/>
      <c r="JC71" s="30"/>
      <c r="JD71" s="30"/>
      <c r="JE71" s="30"/>
      <c r="JF71" s="30"/>
      <c r="JG71" s="30"/>
      <c r="JH71" s="30"/>
      <c r="JI71" s="30"/>
      <c r="JJ71" s="30"/>
      <c r="JK71" s="30"/>
      <c r="JL71" s="30"/>
      <c r="JM71" s="30"/>
      <c r="JN71" s="30"/>
      <c r="JO71" s="30"/>
      <c r="JP71" s="30"/>
      <c r="JQ71" s="30"/>
      <c r="JR71" s="30"/>
      <c r="JS71" s="30"/>
      <c r="JT71" s="30"/>
      <c r="JU71" s="30"/>
      <c r="JV71" s="30"/>
      <c r="JW71" s="30"/>
      <c r="JX71" s="30"/>
      <c r="JY71" s="30"/>
      <c r="JZ71" s="30"/>
      <c r="KA71" s="30"/>
      <c r="KB71" s="30"/>
      <c r="KC71" s="30"/>
      <c r="KD71" s="30"/>
      <c r="KE71" s="30"/>
      <c r="KF71" s="30"/>
      <c r="KG71" s="30"/>
      <c r="KH71" s="30"/>
      <c r="KI71" s="30"/>
      <c r="KJ71" s="30"/>
      <c r="KK71" s="31"/>
      <c r="KL71" s="32"/>
      <c r="KM71" s="33"/>
      <c r="KN71" s="30"/>
      <c r="KO71" s="30"/>
      <c r="KP71" s="30"/>
      <c r="KQ71" s="30"/>
      <c r="KR71" s="30"/>
      <c r="KS71" s="30"/>
      <c r="KT71" s="30"/>
      <c r="KU71" s="30"/>
      <c r="KV71" s="30"/>
      <c r="KW71" s="30"/>
      <c r="KX71" s="30"/>
      <c r="KY71" s="30"/>
      <c r="KZ71" s="30"/>
      <c r="LA71" s="30"/>
      <c r="LB71" s="30"/>
      <c r="LC71" s="30"/>
      <c r="LD71" s="30"/>
      <c r="LE71" s="30"/>
      <c r="LF71" s="30"/>
      <c r="LG71" s="30"/>
      <c r="LH71" s="30"/>
      <c r="LI71" s="30"/>
      <c r="LJ71" s="30"/>
      <c r="LK71" s="30"/>
      <c r="LL71" s="30"/>
      <c r="LM71" s="30"/>
      <c r="LN71" s="30"/>
      <c r="LO71" s="30"/>
      <c r="LP71" s="30"/>
      <c r="LQ71" s="30"/>
      <c r="LR71" s="30"/>
      <c r="LS71" s="30"/>
      <c r="LT71" s="30"/>
      <c r="LU71" s="30"/>
      <c r="LV71" s="30"/>
      <c r="LW71" s="30"/>
      <c r="LX71" s="30"/>
      <c r="LY71" s="30"/>
      <c r="LZ71" s="30"/>
      <c r="MA71" s="30"/>
      <c r="MB71" s="30"/>
      <c r="MC71" s="30"/>
      <c r="MD71" s="30"/>
      <c r="ME71" s="30"/>
      <c r="MF71" s="30"/>
      <c r="MG71" s="30"/>
      <c r="MH71" s="34"/>
    </row>
    <row r="72" spans="1:346" s="28" customFormat="1" ht="21.9" customHeight="1" thickBot="1">
      <c r="A72" s="268"/>
      <c r="B72" s="199"/>
      <c r="C72" s="201"/>
      <c r="D72" s="203"/>
      <c r="E72" s="61">
        <v>0</v>
      </c>
      <c r="F72" s="73"/>
      <c r="G72" s="58"/>
      <c r="H72" s="59" t="s">
        <v>53</v>
      </c>
      <c r="I72" s="21"/>
      <c r="J72" s="21" t="str">
        <f t="shared" si="87"/>
        <v/>
      </c>
      <c r="K72" s="29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6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1"/>
      <c r="BV72" s="32"/>
      <c r="BW72" s="33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6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1"/>
      <c r="KL72" s="32"/>
      <c r="KM72" s="33"/>
      <c r="KN72" s="30"/>
      <c r="KO72" s="30"/>
      <c r="KP72" s="30"/>
      <c r="KQ72" s="30"/>
      <c r="KR72" s="30"/>
      <c r="KS72" s="30"/>
      <c r="KT72" s="30"/>
      <c r="KU72" s="30"/>
      <c r="KV72" s="30"/>
      <c r="KW72" s="30"/>
      <c r="KX72" s="30"/>
      <c r="KY72" s="30"/>
      <c r="KZ72" s="30"/>
      <c r="LA72" s="30"/>
      <c r="LB72" s="30"/>
      <c r="LC72" s="30"/>
      <c r="LD72" s="30"/>
      <c r="LE72" s="30"/>
      <c r="LF72" s="30"/>
      <c r="LG72" s="30"/>
      <c r="LH72" s="30"/>
      <c r="LI72" s="30"/>
      <c r="LJ72" s="30"/>
      <c r="LK72" s="30"/>
      <c r="LL72" s="30"/>
      <c r="LM72" s="30"/>
      <c r="LN72" s="30"/>
      <c r="LO72" s="30"/>
      <c r="LP72" s="30"/>
      <c r="LQ72" s="30"/>
      <c r="LR72" s="30"/>
      <c r="LS72" s="30"/>
      <c r="LT72" s="30"/>
      <c r="LU72" s="30"/>
      <c r="LV72" s="30"/>
      <c r="LW72" s="30"/>
      <c r="LX72" s="30"/>
      <c r="LY72" s="30"/>
      <c r="LZ72" s="30"/>
      <c r="MA72" s="30"/>
      <c r="MB72" s="30"/>
      <c r="MC72" s="30"/>
      <c r="MD72" s="30"/>
      <c r="ME72" s="30"/>
      <c r="MF72" s="30"/>
      <c r="MG72" s="30"/>
      <c r="MH72" s="34"/>
    </row>
    <row r="73" spans="1:346" s="28" customFormat="1" ht="21.9" customHeight="1" thickBot="1">
      <c r="A73" s="268"/>
      <c r="B73" s="234">
        <v>4.3</v>
      </c>
      <c r="C73" s="200" t="s">
        <v>109</v>
      </c>
      <c r="D73" s="202" t="s">
        <v>72</v>
      </c>
      <c r="E73" s="61">
        <v>0</v>
      </c>
      <c r="F73" s="73">
        <v>46072</v>
      </c>
      <c r="G73" s="58">
        <f>G71+3</f>
        <v>46075</v>
      </c>
      <c r="H73" s="60" t="s">
        <v>49</v>
      </c>
      <c r="I73" s="21"/>
      <c r="J73" s="21">
        <f t="shared" si="87"/>
        <v>4</v>
      </c>
      <c r="K73" s="29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6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1"/>
      <c r="BV73" s="32"/>
      <c r="BW73" s="33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/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30"/>
      <c r="HJ73" s="30"/>
      <c r="HK73" s="30"/>
      <c r="HL73" s="30"/>
      <c r="HM73" s="30"/>
      <c r="HN73" s="30"/>
      <c r="HO73" s="30"/>
      <c r="HP73" s="30"/>
      <c r="HQ73" s="30"/>
      <c r="HR73" s="30"/>
      <c r="HS73" s="30"/>
      <c r="HT73" s="30"/>
      <c r="HU73" s="30"/>
      <c r="HV73" s="30"/>
      <c r="HW73" s="30"/>
      <c r="HX73" s="30"/>
      <c r="HY73" s="30"/>
      <c r="HZ73" s="30"/>
      <c r="IA73" s="30"/>
      <c r="IB73" s="30"/>
      <c r="IC73" s="30"/>
      <c r="ID73" s="30"/>
      <c r="IE73" s="30"/>
      <c r="IF73" s="30"/>
      <c r="IG73" s="30"/>
      <c r="IH73" s="30"/>
      <c r="II73" s="30"/>
      <c r="IJ73" s="30"/>
      <c r="IK73" s="30"/>
      <c r="IL73" s="30"/>
      <c r="IM73" s="30"/>
      <c r="IN73" s="30"/>
      <c r="IO73" s="30"/>
      <c r="IP73" s="30"/>
      <c r="IQ73" s="36"/>
      <c r="IR73" s="30"/>
      <c r="IS73" s="30"/>
      <c r="IT73" s="30"/>
      <c r="IU73" s="30"/>
      <c r="IV73" s="30"/>
      <c r="IW73" s="30"/>
      <c r="IX73" s="30"/>
      <c r="IY73" s="30"/>
      <c r="IZ73" s="30"/>
      <c r="JA73" s="30"/>
      <c r="JB73" s="30"/>
      <c r="JC73" s="30"/>
      <c r="JD73" s="30"/>
      <c r="JE73" s="30"/>
      <c r="JF73" s="30"/>
      <c r="JG73" s="30"/>
      <c r="JH73" s="30"/>
      <c r="JI73" s="30"/>
      <c r="JJ73" s="30"/>
      <c r="JK73" s="30"/>
      <c r="JL73" s="30"/>
      <c r="JM73" s="30"/>
      <c r="JN73" s="30"/>
      <c r="JO73" s="30"/>
      <c r="JP73" s="30"/>
      <c r="JQ73" s="30"/>
      <c r="JR73" s="30"/>
      <c r="JS73" s="30"/>
      <c r="JT73" s="30"/>
      <c r="JU73" s="30"/>
      <c r="JV73" s="30"/>
      <c r="JW73" s="30"/>
      <c r="JX73" s="30"/>
      <c r="JY73" s="30"/>
      <c r="JZ73" s="30"/>
      <c r="KA73" s="30"/>
      <c r="KB73" s="30"/>
      <c r="KC73" s="30"/>
      <c r="KD73" s="30"/>
      <c r="KE73" s="30"/>
      <c r="KF73" s="30"/>
      <c r="KG73" s="30"/>
      <c r="KH73" s="30"/>
      <c r="KI73" s="30"/>
      <c r="KJ73" s="30"/>
      <c r="KK73" s="31"/>
      <c r="KL73" s="32"/>
      <c r="KM73" s="33"/>
      <c r="KN73" s="30"/>
      <c r="KO73" s="30"/>
      <c r="KP73" s="30"/>
      <c r="KQ73" s="30"/>
      <c r="KR73" s="30"/>
      <c r="KS73" s="30"/>
      <c r="KT73" s="30"/>
      <c r="KU73" s="30"/>
      <c r="KV73" s="30"/>
      <c r="KW73" s="30"/>
      <c r="KX73" s="30"/>
      <c r="KY73" s="30"/>
      <c r="KZ73" s="30"/>
      <c r="LA73" s="30"/>
      <c r="LB73" s="30"/>
      <c r="LC73" s="30"/>
      <c r="LD73" s="30"/>
      <c r="LE73" s="30"/>
      <c r="LF73" s="30"/>
      <c r="LG73" s="30"/>
      <c r="LH73" s="30"/>
      <c r="LI73" s="30"/>
      <c r="LJ73" s="30"/>
      <c r="LK73" s="30"/>
      <c r="LL73" s="30"/>
      <c r="LM73" s="30"/>
      <c r="LN73" s="30"/>
      <c r="LO73" s="30"/>
      <c r="LP73" s="30"/>
      <c r="LQ73" s="30"/>
      <c r="LR73" s="30"/>
      <c r="LS73" s="30"/>
      <c r="LT73" s="30"/>
      <c r="LU73" s="30"/>
      <c r="LV73" s="30"/>
      <c r="LW73" s="30"/>
      <c r="LX73" s="30"/>
      <c r="LY73" s="30"/>
      <c r="LZ73" s="30"/>
      <c r="MA73" s="30"/>
      <c r="MB73" s="30"/>
      <c r="MC73" s="30"/>
      <c r="MD73" s="30"/>
      <c r="ME73" s="30"/>
      <c r="MF73" s="30"/>
      <c r="MG73" s="30"/>
      <c r="MH73" s="34"/>
    </row>
    <row r="74" spans="1:346" s="28" customFormat="1" ht="21.9" customHeight="1" thickBot="1">
      <c r="A74" s="268"/>
      <c r="B74" s="199"/>
      <c r="C74" s="201"/>
      <c r="D74" s="203"/>
      <c r="E74" s="61">
        <v>0</v>
      </c>
      <c r="F74" s="73"/>
      <c r="G74" s="58"/>
      <c r="H74" s="66" t="s">
        <v>53</v>
      </c>
      <c r="I74" s="21"/>
      <c r="J74" s="21" t="str">
        <f t="shared" si="87"/>
        <v/>
      </c>
      <c r="K74" s="29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6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1"/>
      <c r="BV74" s="32"/>
      <c r="BW74" s="33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/>
      <c r="IN74" s="30"/>
      <c r="IO74" s="30"/>
      <c r="IP74" s="30"/>
      <c r="IQ74" s="36"/>
      <c r="IR74" s="30"/>
      <c r="IS74" s="30"/>
      <c r="IT74" s="30"/>
      <c r="IU74" s="30"/>
      <c r="IV74" s="30"/>
      <c r="IW74" s="30"/>
      <c r="IX74" s="30"/>
      <c r="IY74" s="30"/>
      <c r="IZ74" s="30"/>
      <c r="JA74" s="30"/>
      <c r="JB74" s="30"/>
      <c r="JC74" s="30"/>
      <c r="JD74" s="30"/>
      <c r="JE74" s="30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30"/>
      <c r="JR74" s="30"/>
      <c r="JS74" s="30"/>
      <c r="JT74" s="30"/>
      <c r="JU74" s="30"/>
      <c r="JV74" s="30"/>
      <c r="JW74" s="30"/>
      <c r="JX74" s="30"/>
      <c r="JY74" s="30"/>
      <c r="JZ74" s="30"/>
      <c r="KA74" s="30"/>
      <c r="KB74" s="30"/>
      <c r="KC74" s="30"/>
      <c r="KD74" s="30"/>
      <c r="KE74" s="30"/>
      <c r="KF74" s="30"/>
      <c r="KG74" s="30"/>
      <c r="KH74" s="30"/>
      <c r="KI74" s="30"/>
      <c r="KJ74" s="30"/>
      <c r="KK74" s="31"/>
      <c r="KL74" s="32"/>
      <c r="KM74" s="33"/>
      <c r="KN74" s="30"/>
      <c r="KO74" s="30"/>
      <c r="KP74" s="30"/>
      <c r="KQ74" s="30"/>
      <c r="KR74" s="30"/>
      <c r="KS74" s="30"/>
      <c r="KT74" s="30"/>
      <c r="KU74" s="30"/>
      <c r="KV74" s="30"/>
      <c r="KW74" s="30"/>
      <c r="KX74" s="30"/>
      <c r="KY74" s="30"/>
      <c r="KZ74" s="30"/>
      <c r="LA74" s="30"/>
      <c r="LB74" s="30"/>
      <c r="LC74" s="30"/>
      <c r="LD74" s="30"/>
      <c r="LE74" s="30"/>
      <c r="LF74" s="30"/>
      <c r="LG74" s="30"/>
      <c r="LH74" s="30"/>
      <c r="LI74" s="30"/>
      <c r="LJ74" s="30"/>
      <c r="LK74" s="30"/>
      <c r="LL74" s="30"/>
      <c r="LM74" s="30"/>
      <c r="LN74" s="30"/>
      <c r="LO74" s="30"/>
      <c r="LP74" s="30"/>
      <c r="LQ74" s="30"/>
      <c r="LR74" s="30"/>
      <c r="LS74" s="30"/>
      <c r="LT74" s="30"/>
      <c r="LU74" s="30"/>
      <c r="LV74" s="30"/>
      <c r="LW74" s="30"/>
      <c r="LX74" s="30"/>
      <c r="LY74" s="30"/>
      <c r="LZ74" s="30"/>
      <c r="MA74" s="30"/>
      <c r="MB74" s="30"/>
      <c r="MC74" s="30"/>
      <c r="MD74" s="30"/>
      <c r="ME74" s="30"/>
      <c r="MF74" s="30"/>
      <c r="MG74" s="30"/>
      <c r="MH74" s="34"/>
    </row>
    <row r="75" spans="1:346" s="28" customFormat="1" ht="21.9" customHeight="1" thickBot="1">
      <c r="A75" s="268"/>
      <c r="B75" s="239">
        <v>4.4000000000000004</v>
      </c>
      <c r="C75" s="241" t="s">
        <v>110</v>
      </c>
      <c r="D75" s="243" t="s">
        <v>69</v>
      </c>
      <c r="E75" s="61">
        <v>0</v>
      </c>
      <c r="F75" s="78">
        <f>G73-3</f>
        <v>46072</v>
      </c>
      <c r="G75" s="63">
        <f>F75+7</f>
        <v>46079</v>
      </c>
      <c r="H75" s="56" t="s">
        <v>49</v>
      </c>
      <c r="I75" s="21"/>
      <c r="J75" s="21">
        <f t="shared" si="87"/>
        <v>8</v>
      </c>
      <c r="K75" s="29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6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1"/>
      <c r="BV75" s="32"/>
      <c r="BW75" s="33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0"/>
      <c r="GU75" s="30"/>
      <c r="GV75" s="30"/>
      <c r="GW75" s="30"/>
      <c r="GX75" s="30"/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30"/>
      <c r="HJ75" s="30"/>
      <c r="HK75" s="30"/>
      <c r="HL75" s="30"/>
      <c r="HM75" s="30"/>
      <c r="HN75" s="30"/>
      <c r="HO75" s="30"/>
      <c r="HP75" s="30"/>
      <c r="HQ75" s="30"/>
      <c r="HR75" s="30"/>
      <c r="HS75" s="30"/>
      <c r="HT75" s="30"/>
      <c r="HU75" s="30"/>
      <c r="HV75" s="30"/>
      <c r="HW75" s="30"/>
      <c r="HX75" s="30"/>
      <c r="HY75" s="30"/>
      <c r="HZ75" s="30"/>
      <c r="IA75" s="30"/>
      <c r="IB75" s="30"/>
      <c r="IC75" s="30"/>
      <c r="ID75" s="30"/>
      <c r="IE75" s="30"/>
      <c r="IF75" s="30"/>
      <c r="IG75" s="30"/>
      <c r="IH75" s="30"/>
      <c r="II75" s="30"/>
      <c r="IJ75" s="30"/>
      <c r="IK75" s="30"/>
      <c r="IL75" s="30"/>
      <c r="IM75" s="30"/>
      <c r="IN75" s="30"/>
      <c r="IO75" s="30"/>
      <c r="IP75" s="30"/>
      <c r="IQ75" s="36"/>
      <c r="IR75" s="30"/>
      <c r="IS75" s="30"/>
      <c r="IT75" s="30"/>
      <c r="IU75" s="30"/>
      <c r="IV75" s="30"/>
      <c r="IW75" s="30"/>
      <c r="IX75" s="30"/>
      <c r="IY75" s="30"/>
      <c r="IZ75" s="30"/>
      <c r="JA75" s="30"/>
      <c r="JB75" s="30"/>
      <c r="JC75" s="30"/>
      <c r="JD75" s="30"/>
      <c r="JE75" s="30"/>
      <c r="JF75" s="30"/>
      <c r="JG75" s="30"/>
      <c r="JH75" s="30"/>
      <c r="JI75" s="30"/>
      <c r="JJ75" s="30"/>
      <c r="JK75" s="30"/>
      <c r="JL75" s="30"/>
      <c r="JM75" s="30"/>
      <c r="JN75" s="30"/>
      <c r="JO75" s="30"/>
      <c r="JP75" s="30"/>
      <c r="JQ75" s="30"/>
      <c r="JR75" s="30"/>
      <c r="JS75" s="30"/>
      <c r="JT75" s="30"/>
      <c r="JU75" s="30"/>
      <c r="JV75" s="30"/>
      <c r="JW75" s="30"/>
      <c r="JX75" s="30"/>
      <c r="JY75" s="30"/>
      <c r="JZ75" s="30"/>
      <c r="KA75" s="30"/>
      <c r="KB75" s="30"/>
      <c r="KC75" s="30"/>
      <c r="KD75" s="30"/>
      <c r="KE75" s="30"/>
      <c r="KF75" s="30"/>
      <c r="KG75" s="30"/>
      <c r="KH75" s="30"/>
      <c r="KI75" s="30"/>
      <c r="KJ75" s="30"/>
      <c r="KK75" s="31"/>
      <c r="KL75" s="32"/>
      <c r="KM75" s="33"/>
      <c r="KN75" s="30"/>
      <c r="KO75" s="30"/>
      <c r="KP75" s="30"/>
      <c r="KQ75" s="30"/>
      <c r="KR75" s="30"/>
      <c r="KS75" s="30"/>
      <c r="KT75" s="30"/>
      <c r="KU75" s="30"/>
      <c r="KV75" s="30"/>
      <c r="KW75" s="30"/>
      <c r="KX75" s="30"/>
      <c r="KY75" s="30"/>
      <c r="KZ75" s="30"/>
      <c r="LA75" s="30"/>
      <c r="LB75" s="30"/>
      <c r="LC75" s="30"/>
      <c r="LD75" s="30"/>
      <c r="LE75" s="30"/>
      <c r="LF75" s="30"/>
      <c r="LG75" s="30"/>
      <c r="LH75" s="30"/>
      <c r="LI75" s="30"/>
      <c r="LJ75" s="30"/>
      <c r="LK75" s="30"/>
      <c r="LL75" s="30"/>
      <c r="LM75" s="30"/>
      <c r="LN75" s="30"/>
      <c r="LO75" s="30"/>
      <c r="LP75" s="30"/>
      <c r="LQ75" s="30"/>
      <c r="LR75" s="30"/>
      <c r="LS75" s="30"/>
      <c r="LT75" s="30"/>
      <c r="LU75" s="30"/>
      <c r="LV75" s="30"/>
      <c r="LW75" s="30"/>
      <c r="LX75" s="30"/>
      <c r="LY75" s="30"/>
      <c r="LZ75" s="30"/>
      <c r="MA75" s="30"/>
      <c r="MB75" s="30"/>
      <c r="MC75" s="30"/>
      <c r="MD75" s="30"/>
      <c r="ME75" s="30"/>
      <c r="MF75" s="30"/>
      <c r="MG75" s="30"/>
      <c r="MH75" s="34"/>
    </row>
    <row r="76" spans="1:346" s="28" customFormat="1" ht="21.9" customHeight="1" thickBot="1">
      <c r="A76" s="268"/>
      <c r="B76" s="240"/>
      <c r="C76" s="242"/>
      <c r="D76" s="255"/>
      <c r="E76" s="61">
        <v>0</v>
      </c>
      <c r="F76" s="78"/>
      <c r="G76" s="63"/>
      <c r="H76" s="69" t="s">
        <v>53</v>
      </c>
      <c r="I76" s="21"/>
      <c r="J76" s="21" t="str">
        <f t="shared" si="87"/>
        <v/>
      </c>
      <c r="K76" s="29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1"/>
      <c r="BV76" s="32"/>
      <c r="BW76" s="33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/>
      <c r="IN76" s="30"/>
      <c r="IO76" s="30"/>
      <c r="IP76" s="30"/>
      <c r="IQ76" s="30"/>
      <c r="IR76" s="30"/>
      <c r="IS76" s="30"/>
      <c r="IT76" s="30"/>
      <c r="IU76" s="30"/>
      <c r="IV76" s="30"/>
      <c r="IW76" s="30"/>
      <c r="IX76" s="30"/>
      <c r="IY76" s="30"/>
      <c r="IZ76" s="30"/>
      <c r="JA76" s="30"/>
      <c r="JB76" s="30"/>
      <c r="JC76" s="30"/>
      <c r="JD76" s="30"/>
      <c r="JE76" s="30"/>
      <c r="JF76" s="30"/>
      <c r="JG76" s="30"/>
      <c r="JH76" s="30"/>
      <c r="JI76" s="30"/>
      <c r="JJ76" s="30"/>
      <c r="JK76" s="30"/>
      <c r="JL76" s="30"/>
      <c r="JM76" s="30"/>
      <c r="JN76" s="30"/>
      <c r="JO76" s="30"/>
      <c r="JP76" s="30"/>
      <c r="JQ76" s="30"/>
      <c r="JR76" s="30"/>
      <c r="JS76" s="30"/>
      <c r="JT76" s="30"/>
      <c r="JU76" s="30"/>
      <c r="JV76" s="30"/>
      <c r="JW76" s="30"/>
      <c r="JX76" s="30"/>
      <c r="JY76" s="30"/>
      <c r="JZ76" s="30"/>
      <c r="KA76" s="30"/>
      <c r="KB76" s="30"/>
      <c r="KC76" s="30"/>
      <c r="KD76" s="30"/>
      <c r="KE76" s="30"/>
      <c r="KF76" s="30"/>
      <c r="KG76" s="30"/>
      <c r="KH76" s="30"/>
      <c r="KI76" s="30"/>
      <c r="KJ76" s="30"/>
      <c r="KK76" s="31"/>
      <c r="KL76" s="32"/>
      <c r="KM76" s="33"/>
      <c r="KN76" s="30"/>
      <c r="KO76" s="30"/>
      <c r="KP76" s="30"/>
      <c r="KQ76" s="30"/>
      <c r="KR76" s="30"/>
      <c r="KS76" s="30"/>
      <c r="KT76" s="30"/>
      <c r="KU76" s="30"/>
      <c r="KV76" s="30"/>
      <c r="KW76" s="30"/>
      <c r="KX76" s="30"/>
      <c r="KY76" s="30"/>
      <c r="KZ76" s="30"/>
      <c r="LA76" s="30"/>
      <c r="LB76" s="30"/>
      <c r="LC76" s="30"/>
      <c r="LD76" s="30"/>
      <c r="LE76" s="30"/>
      <c r="LF76" s="30"/>
      <c r="LG76" s="30"/>
      <c r="LH76" s="30"/>
      <c r="LI76" s="30"/>
      <c r="LJ76" s="30"/>
      <c r="LK76" s="30"/>
      <c r="LL76" s="30"/>
      <c r="LM76" s="30"/>
      <c r="LN76" s="30"/>
      <c r="LO76" s="30"/>
      <c r="LP76" s="30"/>
      <c r="LQ76" s="30"/>
      <c r="LR76" s="30"/>
      <c r="LS76" s="30"/>
      <c r="LT76" s="30"/>
      <c r="LU76" s="30"/>
      <c r="LV76" s="30"/>
      <c r="LW76" s="30"/>
      <c r="LX76" s="30"/>
      <c r="LY76" s="30"/>
      <c r="LZ76" s="30"/>
      <c r="MA76" s="30"/>
      <c r="MB76" s="30"/>
      <c r="MC76" s="30"/>
      <c r="MD76" s="30"/>
      <c r="ME76" s="30"/>
      <c r="MF76" s="30"/>
      <c r="MG76" s="30"/>
      <c r="MH76" s="34"/>
    </row>
    <row r="77" spans="1:346" s="28" customFormat="1" ht="21.9" customHeight="1" thickBot="1">
      <c r="A77" s="268"/>
      <c r="B77" s="234">
        <v>4.5</v>
      </c>
      <c r="C77" s="200" t="s">
        <v>111</v>
      </c>
      <c r="D77" s="204" t="s">
        <v>72</v>
      </c>
      <c r="E77" s="61">
        <v>0</v>
      </c>
      <c r="F77" s="73">
        <f>G75-5</f>
        <v>46074</v>
      </c>
      <c r="G77" s="58">
        <f>G75+7</f>
        <v>46086</v>
      </c>
      <c r="H77" s="56" t="s">
        <v>49</v>
      </c>
      <c r="I77" s="21"/>
      <c r="J77" s="21">
        <f t="shared" si="87"/>
        <v>13</v>
      </c>
      <c r="K77" s="29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1"/>
      <c r="BV77" s="32"/>
      <c r="BW77" s="33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/>
      <c r="IN77" s="30"/>
      <c r="IO77" s="30"/>
      <c r="IP77" s="30"/>
      <c r="IQ77" s="30"/>
      <c r="IR77" s="30"/>
      <c r="IS77" s="30"/>
      <c r="IT77" s="30"/>
      <c r="IU77" s="30"/>
      <c r="IV77" s="30"/>
      <c r="IW77" s="30"/>
      <c r="IX77" s="30"/>
      <c r="IY77" s="30"/>
      <c r="IZ77" s="30"/>
      <c r="JA77" s="30"/>
      <c r="JB77" s="30"/>
      <c r="JC77" s="30"/>
      <c r="JD77" s="30"/>
      <c r="JE77" s="30"/>
      <c r="JF77" s="30"/>
      <c r="JG77" s="30"/>
      <c r="JH77" s="30"/>
      <c r="JI77" s="30"/>
      <c r="JJ77" s="30"/>
      <c r="JK77" s="30"/>
      <c r="JL77" s="30"/>
      <c r="JM77" s="30"/>
      <c r="JN77" s="30"/>
      <c r="JO77" s="30"/>
      <c r="JP77" s="30"/>
      <c r="JQ77" s="30"/>
      <c r="JR77" s="30"/>
      <c r="JS77" s="30"/>
      <c r="JT77" s="30"/>
      <c r="JU77" s="30"/>
      <c r="JV77" s="30"/>
      <c r="JW77" s="30"/>
      <c r="JX77" s="30"/>
      <c r="JY77" s="30"/>
      <c r="JZ77" s="30"/>
      <c r="KA77" s="30"/>
      <c r="KB77" s="30"/>
      <c r="KC77" s="30"/>
      <c r="KD77" s="30"/>
      <c r="KE77" s="30"/>
      <c r="KF77" s="30"/>
      <c r="KG77" s="30"/>
      <c r="KH77" s="30"/>
      <c r="KI77" s="30"/>
      <c r="KJ77" s="30"/>
      <c r="KK77" s="31"/>
      <c r="KL77" s="32"/>
      <c r="KM77" s="33"/>
      <c r="KN77" s="30"/>
      <c r="KO77" s="30"/>
      <c r="KP77" s="30"/>
      <c r="KQ77" s="30"/>
      <c r="KR77" s="30"/>
      <c r="KS77" s="30"/>
      <c r="KT77" s="30"/>
      <c r="KU77" s="30"/>
      <c r="KV77" s="30"/>
      <c r="KW77" s="30"/>
      <c r="KX77" s="30"/>
      <c r="KY77" s="30"/>
      <c r="KZ77" s="30"/>
      <c r="LA77" s="30"/>
      <c r="LB77" s="30"/>
      <c r="LC77" s="30"/>
      <c r="LD77" s="30"/>
      <c r="LE77" s="30"/>
      <c r="LF77" s="30"/>
      <c r="LG77" s="30"/>
      <c r="LH77" s="30"/>
      <c r="LI77" s="30"/>
      <c r="LJ77" s="30"/>
      <c r="LK77" s="30"/>
      <c r="LL77" s="30"/>
      <c r="LM77" s="30"/>
      <c r="LN77" s="30"/>
      <c r="LO77" s="30"/>
      <c r="LP77" s="30"/>
      <c r="LQ77" s="30"/>
      <c r="LR77" s="30"/>
      <c r="LS77" s="30"/>
      <c r="LT77" s="30"/>
      <c r="LU77" s="30"/>
      <c r="LV77" s="30"/>
      <c r="LW77" s="30"/>
      <c r="LX77" s="30"/>
      <c r="LY77" s="30"/>
      <c r="LZ77" s="30"/>
      <c r="MA77" s="30"/>
      <c r="MB77" s="30"/>
      <c r="MC77" s="30"/>
      <c r="MD77" s="30"/>
      <c r="ME77" s="30"/>
      <c r="MF77" s="30"/>
      <c r="MG77" s="30"/>
      <c r="MH77" s="34"/>
    </row>
    <row r="78" spans="1:346" s="28" customFormat="1" ht="21.9" customHeight="1" thickBot="1">
      <c r="A78" s="268"/>
      <c r="B78" s="199"/>
      <c r="C78" s="201"/>
      <c r="D78" s="205"/>
      <c r="E78" s="61">
        <v>0</v>
      </c>
      <c r="F78" s="73"/>
      <c r="G78" s="58"/>
      <c r="H78" s="69" t="s">
        <v>53</v>
      </c>
      <c r="I78" s="21"/>
      <c r="J78" s="21" t="str">
        <f t="shared" si="87"/>
        <v/>
      </c>
      <c r="K78" s="29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1"/>
      <c r="BV78" s="32"/>
      <c r="BW78" s="33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1"/>
      <c r="KL78" s="32"/>
      <c r="KM78" s="33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4"/>
    </row>
    <row r="79" spans="1:346" s="28" customFormat="1" ht="21.9" customHeight="1" thickBot="1">
      <c r="A79" s="268"/>
      <c r="B79" s="239">
        <v>4.5999999999999996</v>
      </c>
      <c r="C79" s="241" t="s">
        <v>112</v>
      </c>
      <c r="D79" s="243" t="s">
        <v>72</v>
      </c>
      <c r="E79" s="61">
        <v>0</v>
      </c>
      <c r="F79" s="78">
        <f>F77+1</f>
        <v>46075</v>
      </c>
      <c r="G79" s="63">
        <f>G77+1</f>
        <v>46087</v>
      </c>
      <c r="H79" s="72" t="s">
        <v>49</v>
      </c>
      <c r="I79" s="21"/>
      <c r="J79" s="21">
        <f t="shared" si="87"/>
        <v>13</v>
      </c>
      <c r="K79" s="29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1"/>
      <c r="BV79" s="32"/>
      <c r="BW79" s="33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/>
      <c r="IN79" s="30"/>
      <c r="IO79" s="30"/>
      <c r="IP79" s="30"/>
      <c r="IQ79" s="30"/>
      <c r="IR79" s="30"/>
      <c r="IS79" s="30"/>
      <c r="IT79" s="30"/>
      <c r="IU79" s="30"/>
      <c r="IV79" s="30"/>
      <c r="IW79" s="30"/>
      <c r="IX79" s="30"/>
      <c r="IY79" s="30"/>
      <c r="IZ79" s="30"/>
      <c r="JA79" s="30"/>
      <c r="JB79" s="30"/>
      <c r="JC79" s="30"/>
      <c r="JD79" s="30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  <c r="KH79" s="30"/>
      <c r="KI79" s="30"/>
      <c r="KJ79" s="30"/>
      <c r="KK79" s="31"/>
      <c r="KL79" s="32"/>
      <c r="KM79" s="33"/>
      <c r="KN79" s="30"/>
      <c r="KO79" s="30"/>
      <c r="KP79" s="30"/>
      <c r="KQ79" s="30"/>
      <c r="KR79" s="30"/>
      <c r="KS79" s="30"/>
      <c r="KT79" s="30"/>
      <c r="KU79" s="30"/>
      <c r="KV79" s="30"/>
      <c r="KW79" s="30"/>
      <c r="KX79" s="30"/>
      <c r="KY79" s="30"/>
      <c r="KZ79" s="30"/>
      <c r="LA79" s="30"/>
      <c r="LB79" s="30"/>
      <c r="LC79" s="30"/>
      <c r="LD79" s="30"/>
      <c r="LE79" s="30"/>
      <c r="LF79" s="30"/>
      <c r="LG79" s="30"/>
      <c r="LH79" s="30"/>
      <c r="LI79" s="30"/>
      <c r="LJ79" s="30"/>
      <c r="LK79" s="30"/>
      <c r="LL79" s="30"/>
      <c r="LM79" s="30"/>
      <c r="LN79" s="30"/>
      <c r="LO79" s="30"/>
      <c r="LP79" s="30"/>
      <c r="LQ79" s="30"/>
      <c r="LR79" s="30"/>
      <c r="LS79" s="30"/>
      <c r="LT79" s="30"/>
      <c r="LU79" s="30"/>
      <c r="LV79" s="30"/>
      <c r="LW79" s="30"/>
      <c r="LX79" s="30"/>
      <c r="LY79" s="30"/>
      <c r="LZ79" s="30"/>
      <c r="MA79" s="30"/>
      <c r="MB79" s="30"/>
      <c r="MC79" s="30"/>
      <c r="MD79" s="30"/>
      <c r="ME79" s="30"/>
      <c r="MF79" s="30"/>
      <c r="MG79" s="30"/>
      <c r="MH79" s="34"/>
    </row>
    <row r="80" spans="1:346" s="28" customFormat="1" ht="21.9" customHeight="1" thickBot="1">
      <c r="A80" s="268"/>
      <c r="B80" s="272"/>
      <c r="C80" s="264"/>
      <c r="D80" s="256"/>
      <c r="E80" s="91">
        <v>0</v>
      </c>
      <c r="F80" s="92"/>
      <c r="G80" s="65"/>
      <c r="H80" s="66" t="s">
        <v>53</v>
      </c>
      <c r="I80" s="93"/>
      <c r="J80" s="93" t="str">
        <f t="shared" si="87"/>
        <v/>
      </c>
      <c r="K80" s="29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1"/>
      <c r="BV80" s="32"/>
      <c r="BW80" s="33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/>
      <c r="IN80" s="30"/>
      <c r="IO80" s="30"/>
      <c r="IP80" s="30"/>
      <c r="IQ80" s="30"/>
      <c r="IR80" s="30"/>
      <c r="IS80" s="30"/>
      <c r="IT80" s="30"/>
      <c r="IU80" s="30"/>
      <c r="IV80" s="30"/>
      <c r="IW80" s="30"/>
      <c r="IX80" s="30"/>
      <c r="IY80" s="30"/>
      <c r="IZ80" s="30"/>
      <c r="JA80" s="30"/>
      <c r="JB80" s="30"/>
      <c r="JC80" s="30"/>
      <c r="JD80" s="30"/>
      <c r="JE80" s="30"/>
      <c r="JF80" s="30"/>
      <c r="JG80" s="30"/>
      <c r="JH80" s="30"/>
      <c r="JI80" s="30"/>
      <c r="JJ80" s="30"/>
      <c r="JK80" s="30"/>
      <c r="JL80" s="30"/>
      <c r="JM80" s="30"/>
      <c r="JN80" s="30"/>
      <c r="JO80" s="30"/>
      <c r="JP80" s="30"/>
      <c r="JQ80" s="30"/>
      <c r="JR80" s="30"/>
      <c r="JS80" s="30"/>
      <c r="JT80" s="30"/>
      <c r="JU80" s="30"/>
      <c r="JV80" s="30"/>
      <c r="JW80" s="30"/>
      <c r="JX80" s="30"/>
      <c r="JY80" s="30"/>
      <c r="JZ80" s="30"/>
      <c r="KA80" s="30"/>
      <c r="KB80" s="30"/>
      <c r="KC80" s="30"/>
      <c r="KD80" s="30"/>
      <c r="KE80" s="30"/>
      <c r="KF80" s="30"/>
      <c r="KG80" s="30"/>
      <c r="KH80" s="30"/>
      <c r="KI80" s="30"/>
      <c r="KJ80" s="30"/>
      <c r="KK80" s="31"/>
      <c r="KL80" s="32"/>
      <c r="KM80" s="33"/>
      <c r="KN80" s="30"/>
      <c r="KO80" s="30"/>
      <c r="KP80" s="30"/>
      <c r="KQ80" s="30"/>
      <c r="KR80" s="30"/>
      <c r="KS80" s="30"/>
      <c r="KT80" s="30"/>
      <c r="KU80" s="30"/>
      <c r="KV80" s="30"/>
      <c r="KW80" s="30"/>
      <c r="KX80" s="30"/>
      <c r="KY80" s="30"/>
      <c r="KZ80" s="30"/>
      <c r="LA80" s="30"/>
      <c r="LB80" s="30"/>
      <c r="LC80" s="30"/>
      <c r="LD80" s="30"/>
      <c r="LE80" s="30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30"/>
      <c r="MC80" s="30"/>
      <c r="MD80" s="30"/>
      <c r="ME80" s="30"/>
      <c r="MF80" s="30"/>
      <c r="MG80" s="30"/>
      <c r="MH80" s="34"/>
    </row>
    <row r="81" spans="1:346" s="28" customFormat="1" ht="21.9" customHeight="1" thickBot="1">
      <c r="A81" s="260" t="s">
        <v>113</v>
      </c>
      <c r="B81" s="273">
        <v>5</v>
      </c>
      <c r="C81" s="275" t="s">
        <v>114</v>
      </c>
      <c r="D81" s="253" t="s">
        <v>72</v>
      </c>
      <c r="E81" s="77">
        <v>0</v>
      </c>
      <c r="F81" s="79">
        <v>46083</v>
      </c>
      <c r="G81" s="80">
        <f>F81+50</f>
        <v>46133</v>
      </c>
      <c r="H81" s="56" t="s">
        <v>49</v>
      </c>
      <c r="I81" s="94"/>
      <c r="J81" s="95">
        <f t="shared" si="87"/>
        <v>51</v>
      </c>
      <c r="K81" s="29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1"/>
      <c r="BV81" s="32"/>
      <c r="BW81" s="33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/>
      <c r="IN81" s="30"/>
      <c r="IO81" s="30"/>
      <c r="IP81" s="30"/>
      <c r="IQ81" s="30"/>
      <c r="IR81" s="30"/>
      <c r="IS81" s="30"/>
      <c r="IT81" s="30"/>
      <c r="IU81" s="30"/>
      <c r="IV81" s="30"/>
      <c r="IW81" s="30"/>
      <c r="IX81" s="30"/>
      <c r="IY81" s="30"/>
      <c r="IZ81" s="30"/>
      <c r="JA81" s="30"/>
      <c r="JB81" s="30"/>
      <c r="JC81" s="30"/>
      <c r="JD81" s="30"/>
      <c r="JE81" s="30"/>
      <c r="JF81" s="30"/>
      <c r="JG81" s="30"/>
      <c r="JH81" s="30"/>
      <c r="JI81" s="30"/>
      <c r="JJ81" s="30"/>
      <c r="JK81" s="30"/>
      <c r="JL81" s="30"/>
      <c r="JM81" s="30"/>
      <c r="JN81" s="30"/>
      <c r="JO81" s="30"/>
      <c r="JP81" s="30"/>
      <c r="JQ81" s="30"/>
      <c r="JR81" s="30"/>
      <c r="JS81" s="30"/>
      <c r="JT81" s="30"/>
      <c r="JU81" s="30"/>
      <c r="JV81" s="30"/>
      <c r="JW81" s="30"/>
      <c r="JX81" s="30"/>
      <c r="JY81" s="30"/>
      <c r="JZ81" s="30"/>
      <c r="KA81" s="30"/>
      <c r="KB81" s="30"/>
      <c r="KC81" s="30"/>
      <c r="KD81" s="30"/>
      <c r="KE81" s="30"/>
      <c r="KF81" s="30"/>
      <c r="KG81" s="30"/>
      <c r="KH81" s="30"/>
      <c r="KI81" s="30"/>
      <c r="KJ81" s="30"/>
      <c r="KK81" s="31"/>
      <c r="KL81" s="32"/>
      <c r="KM81" s="33"/>
      <c r="KN81" s="30"/>
      <c r="KO81" s="30"/>
      <c r="KP81" s="30"/>
      <c r="KQ81" s="30"/>
      <c r="KR81" s="30"/>
      <c r="KS81" s="30"/>
      <c r="KT81" s="30"/>
      <c r="KU81" s="30"/>
      <c r="KV81" s="30"/>
      <c r="KW81" s="30"/>
      <c r="KX81" s="30"/>
      <c r="KY81" s="30"/>
      <c r="KZ81" s="30"/>
      <c r="LA81" s="30"/>
      <c r="LB81" s="30"/>
      <c r="LC81" s="30"/>
      <c r="LD81" s="30"/>
      <c r="LE81" s="30"/>
      <c r="LF81" s="30"/>
      <c r="LG81" s="30"/>
      <c r="LH81" s="30"/>
      <c r="LI81" s="30"/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30"/>
      <c r="MC81" s="30"/>
      <c r="MD81" s="30"/>
      <c r="ME81" s="30"/>
      <c r="MF81" s="30"/>
      <c r="MG81" s="30"/>
      <c r="MH81" s="34"/>
    </row>
    <row r="82" spans="1:346" s="28" customFormat="1" ht="21.9" customHeight="1" thickBot="1">
      <c r="A82" s="261"/>
      <c r="B82" s="274"/>
      <c r="C82" s="276"/>
      <c r="D82" s="254"/>
      <c r="E82" s="61">
        <v>0</v>
      </c>
      <c r="F82" s="78"/>
      <c r="G82" s="63"/>
      <c r="H82" s="69" t="s">
        <v>53</v>
      </c>
      <c r="I82" s="21"/>
      <c r="J82" s="96" t="str">
        <f t="shared" si="87"/>
        <v/>
      </c>
      <c r="K82" s="29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1"/>
      <c r="BV82" s="32"/>
      <c r="BW82" s="33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30"/>
      <c r="HJ82" s="30"/>
      <c r="HK82" s="30"/>
      <c r="HL82" s="30"/>
      <c r="HM82" s="30"/>
      <c r="HN82" s="30"/>
      <c r="HO82" s="30"/>
      <c r="HP82" s="30"/>
      <c r="HQ82" s="30"/>
      <c r="HR82" s="30"/>
      <c r="HS82" s="30"/>
      <c r="HT82" s="30"/>
      <c r="HU82" s="30"/>
      <c r="HV82" s="30"/>
      <c r="HW82" s="30"/>
      <c r="HX82" s="30"/>
      <c r="HY82" s="30"/>
      <c r="HZ82" s="30"/>
      <c r="IA82" s="30"/>
      <c r="IB82" s="30"/>
      <c r="IC82" s="30"/>
      <c r="ID82" s="30"/>
      <c r="IE82" s="30"/>
      <c r="IF82" s="30"/>
      <c r="IG82" s="30"/>
      <c r="IH82" s="30"/>
      <c r="II82" s="30"/>
      <c r="IJ82" s="30"/>
      <c r="IK82" s="30"/>
      <c r="IL82" s="30"/>
      <c r="IM82" s="30"/>
      <c r="IN82" s="30"/>
      <c r="IO82" s="30"/>
      <c r="IP82" s="30"/>
      <c r="IQ82" s="30"/>
      <c r="IR82" s="30"/>
      <c r="IS82" s="30"/>
      <c r="IT82" s="30"/>
      <c r="IU82" s="30"/>
      <c r="IV82" s="30"/>
      <c r="IW82" s="30"/>
      <c r="IX82" s="30"/>
      <c r="IY82" s="30"/>
      <c r="IZ82" s="30"/>
      <c r="JA82" s="30"/>
      <c r="JB82" s="30"/>
      <c r="JC82" s="30"/>
      <c r="JD82" s="30"/>
      <c r="JE82" s="30"/>
      <c r="JF82" s="30"/>
      <c r="JG82" s="30"/>
      <c r="JH82" s="30"/>
      <c r="JI82" s="30"/>
      <c r="JJ82" s="30"/>
      <c r="JK82" s="30"/>
      <c r="JL82" s="30"/>
      <c r="JM82" s="30"/>
      <c r="JN82" s="30"/>
      <c r="JO82" s="30"/>
      <c r="JP82" s="30"/>
      <c r="JQ82" s="30"/>
      <c r="JR82" s="30"/>
      <c r="JS82" s="30"/>
      <c r="JT82" s="30"/>
      <c r="JU82" s="30"/>
      <c r="JV82" s="30"/>
      <c r="JW82" s="30"/>
      <c r="JX82" s="30"/>
      <c r="JY82" s="30"/>
      <c r="JZ82" s="30"/>
      <c r="KA82" s="30"/>
      <c r="KB82" s="30"/>
      <c r="KC82" s="30"/>
      <c r="KD82" s="30"/>
      <c r="KE82" s="30"/>
      <c r="KF82" s="30"/>
      <c r="KG82" s="30"/>
      <c r="KH82" s="30"/>
      <c r="KI82" s="30"/>
      <c r="KJ82" s="30"/>
      <c r="KK82" s="31"/>
      <c r="KL82" s="32"/>
      <c r="KM82" s="33"/>
      <c r="KN82" s="30"/>
      <c r="KO82" s="30"/>
      <c r="KP82" s="30"/>
      <c r="KQ82" s="30"/>
      <c r="KR82" s="30"/>
      <c r="KS82" s="30"/>
      <c r="KT82" s="30"/>
      <c r="KU82" s="30"/>
      <c r="KV82" s="30"/>
      <c r="KW82" s="30"/>
      <c r="KX82" s="30"/>
      <c r="KY82" s="30"/>
      <c r="KZ82" s="30"/>
      <c r="LA82" s="30"/>
      <c r="LB82" s="30"/>
      <c r="LC82" s="30"/>
      <c r="LD82" s="30"/>
      <c r="LE82" s="30"/>
      <c r="LF82" s="30"/>
      <c r="LG82" s="30"/>
      <c r="LH82" s="30"/>
      <c r="LI82" s="30"/>
      <c r="LJ82" s="30"/>
      <c r="LK82" s="30"/>
      <c r="LL82" s="30"/>
      <c r="LM82" s="30"/>
      <c r="LN82" s="30"/>
      <c r="LO82" s="30"/>
      <c r="LP82" s="30"/>
      <c r="LQ82" s="30"/>
      <c r="LR82" s="30"/>
      <c r="LS82" s="30"/>
      <c r="LT82" s="30"/>
      <c r="LU82" s="30"/>
      <c r="LV82" s="30"/>
      <c r="LW82" s="30"/>
      <c r="LX82" s="30"/>
      <c r="LY82" s="30"/>
      <c r="LZ82" s="30"/>
      <c r="MA82" s="30"/>
      <c r="MB82" s="30"/>
      <c r="MC82" s="30"/>
      <c r="MD82" s="30"/>
      <c r="ME82" s="30"/>
      <c r="MF82" s="30"/>
      <c r="MG82" s="30"/>
      <c r="MH82" s="34"/>
    </row>
    <row r="83" spans="1:346" s="28" customFormat="1" ht="21.9" customHeight="1" thickBot="1">
      <c r="A83" s="261"/>
      <c r="B83" s="274">
        <v>6</v>
      </c>
      <c r="C83" s="276" t="s">
        <v>115</v>
      </c>
      <c r="D83" s="254" t="s">
        <v>72</v>
      </c>
      <c r="E83" s="61">
        <v>0</v>
      </c>
      <c r="F83" s="78">
        <f>G81-30</f>
        <v>46103</v>
      </c>
      <c r="G83" s="63">
        <f>F83+30</f>
        <v>46133</v>
      </c>
      <c r="H83" s="56" t="s">
        <v>49</v>
      </c>
      <c r="I83" s="37"/>
      <c r="J83" s="96">
        <f t="shared" si="87"/>
        <v>31</v>
      </c>
      <c r="K83" s="29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1"/>
      <c r="BV83" s="32"/>
      <c r="BW83" s="33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30"/>
      <c r="HJ83" s="30"/>
      <c r="HK83" s="30"/>
      <c r="HL83" s="30"/>
      <c r="HM83" s="30"/>
      <c r="HN83" s="30"/>
      <c r="HO83" s="30"/>
      <c r="HP83" s="30"/>
      <c r="HQ83" s="30"/>
      <c r="HR83" s="30"/>
      <c r="HS83" s="30"/>
      <c r="HT83" s="30"/>
      <c r="HU83" s="30"/>
      <c r="HV83" s="30"/>
      <c r="HW83" s="30"/>
      <c r="HX83" s="30"/>
      <c r="HY83" s="30"/>
      <c r="HZ83" s="30"/>
      <c r="IA83" s="30"/>
      <c r="IB83" s="30"/>
      <c r="IC83" s="30"/>
      <c r="ID83" s="30"/>
      <c r="IE83" s="30"/>
      <c r="IF83" s="30"/>
      <c r="IG83" s="30"/>
      <c r="IH83" s="30"/>
      <c r="II83" s="30"/>
      <c r="IJ83" s="30"/>
      <c r="IK83" s="30"/>
      <c r="IL83" s="30"/>
      <c r="IM83" s="30"/>
      <c r="IN83" s="30"/>
      <c r="IO83" s="30"/>
      <c r="IP83" s="30"/>
      <c r="IQ83" s="30"/>
      <c r="IR83" s="30"/>
      <c r="IS83" s="30"/>
      <c r="IT83" s="30"/>
      <c r="IU83" s="30"/>
      <c r="IV83" s="30"/>
      <c r="IW83" s="30"/>
      <c r="IX83" s="30"/>
      <c r="IY83" s="30"/>
      <c r="IZ83" s="30"/>
      <c r="JA83" s="30"/>
      <c r="JB83" s="30"/>
      <c r="JC83" s="30"/>
      <c r="JD83" s="30"/>
      <c r="JE83" s="30"/>
      <c r="JF83" s="30"/>
      <c r="JG83" s="30"/>
      <c r="JH83" s="30"/>
      <c r="JI83" s="30"/>
      <c r="JJ83" s="30"/>
      <c r="JK83" s="30"/>
      <c r="JL83" s="30"/>
      <c r="JM83" s="30"/>
      <c r="JN83" s="30"/>
      <c r="JO83" s="30"/>
      <c r="JP83" s="30"/>
      <c r="JQ83" s="30"/>
      <c r="JR83" s="30"/>
      <c r="JS83" s="30"/>
      <c r="JT83" s="30"/>
      <c r="JU83" s="30"/>
      <c r="JV83" s="30"/>
      <c r="JW83" s="30"/>
      <c r="JX83" s="30"/>
      <c r="JY83" s="30"/>
      <c r="JZ83" s="30"/>
      <c r="KA83" s="30"/>
      <c r="KB83" s="30"/>
      <c r="KC83" s="30"/>
      <c r="KD83" s="30"/>
      <c r="KE83" s="30"/>
      <c r="KF83" s="30"/>
      <c r="KG83" s="30"/>
      <c r="KH83" s="30"/>
      <c r="KI83" s="30"/>
      <c r="KJ83" s="30"/>
      <c r="KK83" s="31"/>
      <c r="KL83" s="32"/>
      <c r="KM83" s="33"/>
      <c r="KN83" s="30"/>
      <c r="KO83" s="30"/>
      <c r="KP83" s="30"/>
      <c r="KQ83" s="30"/>
      <c r="KR83" s="30"/>
      <c r="KS83" s="30"/>
      <c r="KT83" s="30"/>
      <c r="KU83" s="30"/>
      <c r="KV83" s="30"/>
      <c r="KW83" s="30"/>
      <c r="KX83" s="30"/>
      <c r="KY83" s="30"/>
      <c r="KZ83" s="30"/>
      <c r="LA83" s="30"/>
      <c r="LB83" s="30"/>
      <c r="LC83" s="30"/>
      <c r="LD83" s="30"/>
      <c r="LE83" s="30"/>
      <c r="LF83" s="30"/>
      <c r="LG83" s="30"/>
      <c r="LH83" s="30"/>
      <c r="LI83" s="30"/>
      <c r="LJ83" s="30"/>
      <c r="LK83" s="30"/>
      <c r="LL83" s="30"/>
      <c r="LM83" s="30"/>
      <c r="LN83" s="30"/>
      <c r="LO83" s="30"/>
      <c r="LP83" s="30"/>
      <c r="LQ83" s="30"/>
      <c r="LR83" s="30"/>
      <c r="LS83" s="30"/>
      <c r="LT83" s="30"/>
      <c r="LU83" s="30"/>
      <c r="LV83" s="30"/>
      <c r="LW83" s="30"/>
      <c r="LX83" s="30"/>
      <c r="LY83" s="30"/>
      <c r="LZ83" s="30"/>
      <c r="MA83" s="30"/>
      <c r="MB83" s="30"/>
      <c r="MC83" s="30"/>
      <c r="MD83" s="30"/>
      <c r="ME83" s="30"/>
      <c r="MF83" s="30"/>
      <c r="MG83" s="30"/>
      <c r="MH83" s="34"/>
    </row>
    <row r="84" spans="1:346" ht="21.9" customHeight="1" thickBot="1">
      <c r="A84" s="261"/>
      <c r="B84" s="274"/>
      <c r="C84" s="276"/>
      <c r="D84" s="254"/>
      <c r="E84" s="61">
        <v>0</v>
      </c>
      <c r="F84" s="78"/>
      <c r="G84" s="63"/>
      <c r="H84" s="69" t="s">
        <v>53</v>
      </c>
      <c r="I84" s="7"/>
      <c r="J84" s="96" t="str">
        <f t="shared" ref="J84:J88" si="88">IF(OR(ISBLANK(task_start),ISBLANK(task_end)),"",task_end-task_start+1)</f>
        <v/>
      </c>
      <c r="K84" s="29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1"/>
      <c r="BV84" s="32"/>
      <c r="BW84" s="33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/>
      <c r="IN84" s="30"/>
      <c r="IO84" s="30"/>
      <c r="IP84" s="30"/>
      <c r="IQ84" s="30"/>
      <c r="IR84" s="30"/>
      <c r="IS84" s="30"/>
      <c r="IT84" s="30"/>
      <c r="IU84" s="30"/>
      <c r="IV84" s="30"/>
      <c r="IW84" s="30"/>
      <c r="IX84" s="30"/>
      <c r="IY84" s="30"/>
      <c r="IZ84" s="30"/>
      <c r="JA84" s="30"/>
      <c r="JB84" s="30"/>
      <c r="JC84" s="30"/>
      <c r="JD84" s="30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  <c r="KH84" s="30"/>
      <c r="KI84" s="30"/>
      <c r="KJ84" s="30"/>
      <c r="KK84" s="31"/>
      <c r="KL84" s="32"/>
      <c r="KM84" s="33"/>
      <c r="KN84" s="30"/>
      <c r="KO84" s="30"/>
      <c r="KP84" s="30"/>
      <c r="KQ84" s="30"/>
      <c r="KR84" s="30"/>
      <c r="KS84" s="30"/>
      <c r="KT84" s="30"/>
      <c r="KU84" s="30"/>
      <c r="KV84" s="30"/>
      <c r="KW84" s="30"/>
      <c r="KX84" s="30"/>
      <c r="KY84" s="30"/>
      <c r="KZ84" s="30"/>
      <c r="LA84" s="30"/>
      <c r="LB84" s="30"/>
      <c r="LC84" s="30"/>
      <c r="LD84" s="30"/>
      <c r="LE84" s="30"/>
      <c r="LF84" s="30"/>
      <c r="LG84" s="30"/>
      <c r="LH84" s="30"/>
      <c r="LI84" s="30"/>
      <c r="LJ84" s="30"/>
      <c r="LK84" s="30"/>
      <c r="LL84" s="30"/>
      <c r="LM84" s="30"/>
      <c r="LN84" s="30"/>
      <c r="LO84" s="30"/>
      <c r="LP84" s="30"/>
      <c r="LQ84" s="30"/>
      <c r="LR84" s="30"/>
      <c r="LS84" s="30"/>
      <c r="LT84" s="30"/>
      <c r="LU84" s="30"/>
      <c r="LV84" s="30"/>
      <c r="LW84" s="30"/>
      <c r="LX84" s="30"/>
      <c r="LY84" s="30"/>
      <c r="LZ84" s="30"/>
      <c r="MA84" s="30"/>
      <c r="MB84" s="30"/>
      <c r="MC84" s="30"/>
      <c r="MD84" s="30"/>
      <c r="ME84" s="30"/>
      <c r="MF84" s="30"/>
      <c r="MG84" s="30"/>
      <c r="MH84" s="34"/>
    </row>
    <row r="85" spans="1:346" ht="21.9" customHeight="1" thickBot="1">
      <c r="A85" s="261"/>
      <c r="B85" s="277">
        <v>7</v>
      </c>
      <c r="C85" s="278" t="s">
        <v>116</v>
      </c>
      <c r="D85" s="269" t="s">
        <v>21</v>
      </c>
      <c r="E85" s="61">
        <v>0</v>
      </c>
      <c r="F85" s="73">
        <f>G83+1</f>
        <v>46134</v>
      </c>
      <c r="G85" s="58">
        <v>46173</v>
      </c>
      <c r="H85" s="56" t="s">
        <v>49</v>
      </c>
      <c r="J85" s="96">
        <f t="shared" si="88"/>
        <v>40</v>
      </c>
      <c r="K85" s="29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1"/>
      <c r="BV85" s="32"/>
      <c r="BW85" s="33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0"/>
      <c r="IC85" s="30"/>
      <c r="ID85" s="30"/>
      <c r="IE85" s="30"/>
      <c r="IF85" s="30"/>
      <c r="IG85" s="30"/>
      <c r="IH85" s="30"/>
      <c r="II85" s="30"/>
      <c r="IJ85" s="30"/>
      <c r="IK85" s="30"/>
      <c r="IL85" s="30"/>
      <c r="IM85" s="30"/>
      <c r="IN85" s="30"/>
      <c r="IO85" s="30"/>
      <c r="IP85" s="30"/>
      <c r="IQ85" s="30"/>
      <c r="IR85" s="30"/>
      <c r="IS85" s="30"/>
      <c r="IT85" s="30"/>
      <c r="IU85" s="30"/>
      <c r="IV85" s="30"/>
      <c r="IW85" s="30"/>
      <c r="IX85" s="30"/>
      <c r="IY85" s="30"/>
      <c r="IZ85" s="30"/>
      <c r="JA85" s="30"/>
      <c r="JB85" s="30"/>
      <c r="JC85" s="30"/>
      <c r="JD85" s="30"/>
      <c r="JE85" s="30"/>
      <c r="JF85" s="30"/>
      <c r="JG85" s="30"/>
      <c r="JH85" s="30"/>
      <c r="JI85" s="30"/>
      <c r="JJ85" s="30"/>
      <c r="JK85" s="30"/>
      <c r="JL85" s="30"/>
      <c r="JM85" s="30"/>
      <c r="JN85" s="30"/>
      <c r="JO85" s="30"/>
      <c r="JP85" s="30"/>
      <c r="JQ85" s="30"/>
      <c r="JR85" s="30"/>
      <c r="JS85" s="30"/>
      <c r="JT85" s="30"/>
      <c r="JU85" s="30"/>
      <c r="JV85" s="30"/>
      <c r="JW85" s="30"/>
      <c r="JX85" s="30"/>
      <c r="JY85" s="30"/>
      <c r="JZ85" s="30"/>
      <c r="KA85" s="30"/>
      <c r="KB85" s="30"/>
      <c r="KC85" s="30"/>
      <c r="KD85" s="30"/>
      <c r="KE85" s="30"/>
      <c r="KF85" s="30"/>
      <c r="KG85" s="30"/>
      <c r="KH85" s="30"/>
      <c r="KI85" s="30"/>
      <c r="KJ85" s="30"/>
      <c r="KK85" s="31"/>
      <c r="KL85" s="32"/>
      <c r="KM85" s="33"/>
      <c r="KN85" s="30"/>
      <c r="KO85" s="30"/>
      <c r="KP85" s="30"/>
      <c r="KQ85" s="30"/>
      <c r="KR85" s="30"/>
      <c r="KS85" s="30"/>
      <c r="KT85" s="30"/>
      <c r="KU85" s="30"/>
      <c r="KV85" s="30"/>
      <c r="KW85" s="30"/>
      <c r="KX85" s="30"/>
      <c r="KY85" s="30"/>
      <c r="KZ85" s="30"/>
      <c r="LA85" s="30"/>
      <c r="LB85" s="30"/>
      <c r="LC85" s="30"/>
      <c r="LD85" s="30"/>
      <c r="LE85" s="30"/>
      <c r="LF85" s="30"/>
      <c r="LG85" s="30"/>
      <c r="LH85" s="30"/>
      <c r="LI85" s="30"/>
      <c r="LJ85" s="30"/>
      <c r="LK85" s="30"/>
      <c r="LL85" s="30"/>
      <c r="LM85" s="30"/>
      <c r="LN85" s="30"/>
      <c r="LO85" s="30"/>
      <c r="LP85" s="30"/>
      <c r="LQ85" s="30"/>
      <c r="LR85" s="30"/>
      <c r="LS85" s="30"/>
      <c r="LT85" s="30"/>
      <c r="LU85" s="30"/>
      <c r="LV85" s="30"/>
      <c r="LW85" s="30"/>
      <c r="LX85" s="30"/>
      <c r="LY85" s="30"/>
      <c r="LZ85" s="30"/>
      <c r="MA85" s="30"/>
      <c r="MB85" s="30"/>
      <c r="MC85" s="30"/>
      <c r="MD85" s="30"/>
      <c r="ME85" s="30"/>
      <c r="MF85" s="30"/>
      <c r="MG85" s="30"/>
      <c r="MH85" s="34"/>
    </row>
    <row r="86" spans="1:346" ht="21.9" customHeight="1" thickBot="1">
      <c r="A86" s="261"/>
      <c r="B86" s="277"/>
      <c r="C86" s="278"/>
      <c r="D86" s="269"/>
      <c r="E86" s="61">
        <v>0</v>
      </c>
      <c r="F86" s="73"/>
      <c r="G86" s="58"/>
      <c r="H86" s="69" t="s">
        <v>53</v>
      </c>
      <c r="J86" s="96" t="str">
        <f t="shared" si="88"/>
        <v/>
      </c>
      <c r="K86" s="29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1"/>
      <c r="BV86" s="32"/>
      <c r="BW86" s="33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  <c r="IR86" s="30"/>
      <c r="IS86" s="30"/>
      <c r="IT86" s="30"/>
      <c r="IU86" s="30"/>
      <c r="IV86" s="30"/>
      <c r="IW86" s="30"/>
      <c r="IX86" s="30"/>
      <c r="IY86" s="30"/>
      <c r="IZ86" s="30"/>
      <c r="JA86" s="30"/>
      <c r="JB86" s="30"/>
      <c r="JC86" s="30"/>
      <c r="JD86" s="30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1"/>
      <c r="KL86" s="32"/>
      <c r="KM86" s="33"/>
      <c r="KN86" s="30"/>
      <c r="KO86" s="30"/>
      <c r="KP86" s="30"/>
      <c r="KQ86" s="30"/>
      <c r="KR86" s="30"/>
      <c r="KS86" s="30"/>
      <c r="KT86" s="30"/>
      <c r="KU86" s="30"/>
      <c r="KV86" s="30"/>
      <c r="KW86" s="30"/>
      <c r="KX86" s="30"/>
      <c r="KY86" s="30"/>
      <c r="KZ86" s="30"/>
      <c r="LA86" s="30"/>
      <c r="LB86" s="30"/>
      <c r="LC86" s="30"/>
      <c r="LD86" s="30"/>
      <c r="LE86" s="30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30"/>
      <c r="MC86" s="30"/>
      <c r="MD86" s="30"/>
      <c r="ME86" s="30"/>
      <c r="MF86" s="30"/>
      <c r="MG86" s="30"/>
      <c r="MH86" s="34"/>
    </row>
    <row r="87" spans="1:346" ht="21.75" customHeight="1" thickBot="1">
      <c r="A87" s="261"/>
      <c r="B87" s="277">
        <v>8</v>
      </c>
      <c r="C87" s="278" t="s">
        <v>117</v>
      </c>
      <c r="D87" s="270" t="s">
        <v>118</v>
      </c>
      <c r="E87" s="61">
        <v>0</v>
      </c>
      <c r="F87" s="73">
        <f>G85+1</f>
        <v>46174</v>
      </c>
      <c r="G87" s="58"/>
      <c r="H87" s="56" t="s">
        <v>49</v>
      </c>
      <c r="J87" s="96" t="str">
        <f t="shared" si="88"/>
        <v/>
      </c>
      <c r="K87" s="29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1"/>
      <c r="BV87" s="32"/>
      <c r="BW87" s="33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/>
      <c r="IN87" s="30"/>
      <c r="IO87" s="30"/>
      <c r="IP87" s="30"/>
      <c r="IQ87" s="30"/>
      <c r="IR87" s="30"/>
      <c r="IS87" s="30"/>
      <c r="IT87" s="30"/>
      <c r="IU87" s="30"/>
      <c r="IV87" s="30"/>
      <c r="IW87" s="30"/>
      <c r="IX87" s="30"/>
      <c r="IY87" s="30"/>
      <c r="IZ87" s="30"/>
      <c r="JA87" s="30"/>
      <c r="JB87" s="30"/>
      <c r="JC87" s="30"/>
      <c r="JD87" s="30"/>
      <c r="JE87" s="30"/>
      <c r="JF87" s="30"/>
      <c r="JG87" s="30"/>
      <c r="JH87" s="30"/>
      <c r="JI87" s="30"/>
      <c r="JJ87" s="30"/>
      <c r="JK87" s="30"/>
      <c r="JL87" s="30"/>
      <c r="JM87" s="30"/>
      <c r="JN87" s="30"/>
      <c r="JO87" s="30"/>
      <c r="JP87" s="30"/>
      <c r="JQ87" s="30"/>
      <c r="JR87" s="30"/>
      <c r="JS87" s="30"/>
      <c r="JT87" s="30"/>
      <c r="JU87" s="30"/>
      <c r="JV87" s="30"/>
      <c r="JW87" s="30"/>
      <c r="JX87" s="30"/>
      <c r="JY87" s="30"/>
      <c r="JZ87" s="30"/>
      <c r="KA87" s="30"/>
      <c r="KB87" s="30"/>
      <c r="KC87" s="30"/>
      <c r="KD87" s="30"/>
      <c r="KE87" s="30"/>
      <c r="KF87" s="30"/>
      <c r="KG87" s="30"/>
      <c r="KH87" s="30"/>
      <c r="KI87" s="30"/>
      <c r="KJ87" s="30"/>
      <c r="KK87" s="31"/>
      <c r="KL87" s="32"/>
      <c r="KM87" s="33"/>
      <c r="KN87" s="30"/>
      <c r="KO87" s="30"/>
      <c r="KP87" s="30"/>
      <c r="KQ87" s="30"/>
      <c r="KR87" s="30"/>
      <c r="KS87" s="30"/>
      <c r="KT87" s="30"/>
      <c r="KU87" s="30"/>
      <c r="KV87" s="30"/>
      <c r="KW87" s="30"/>
      <c r="KX87" s="30"/>
      <c r="KY87" s="30"/>
      <c r="KZ87" s="30"/>
      <c r="LA87" s="30"/>
      <c r="LB87" s="30"/>
      <c r="LC87" s="30"/>
      <c r="LD87" s="30"/>
      <c r="LE87" s="30"/>
      <c r="LF87" s="30"/>
      <c r="LG87" s="30"/>
      <c r="LH87" s="30"/>
      <c r="LI87" s="30"/>
      <c r="LJ87" s="30"/>
      <c r="LK87" s="30"/>
      <c r="LL87" s="30"/>
      <c r="LM87" s="30"/>
      <c r="LN87" s="30"/>
      <c r="LO87" s="30"/>
      <c r="LP87" s="30"/>
      <c r="LQ87" s="30"/>
      <c r="LR87" s="30"/>
      <c r="LS87" s="30"/>
      <c r="LT87" s="30"/>
      <c r="LU87" s="30"/>
      <c r="LV87" s="30"/>
      <c r="LW87" s="30"/>
      <c r="LX87" s="30"/>
      <c r="LY87" s="30"/>
      <c r="LZ87" s="30"/>
      <c r="MA87" s="30"/>
      <c r="MB87" s="30"/>
      <c r="MC87" s="30"/>
      <c r="MD87" s="30"/>
      <c r="ME87" s="30"/>
      <c r="MF87" s="30"/>
      <c r="MG87" s="30"/>
      <c r="MH87" s="34"/>
    </row>
    <row r="88" spans="1:346" ht="21.75" customHeight="1" thickBot="1">
      <c r="A88" s="262"/>
      <c r="B88" s="279"/>
      <c r="C88" s="280"/>
      <c r="D88" s="271"/>
      <c r="E88" s="64">
        <v>0</v>
      </c>
      <c r="F88" s="75"/>
      <c r="G88" s="76"/>
      <c r="H88" s="69" t="s">
        <v>53</v>
      </c>
      <c r="I88" s="97"/>
      <c r="J88" s="98" t="str">
        <f t="shared" si="88"/>
        <v/>
      </c>
      <c r="K88" s="42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4"/>
      <c r="BV88" s="45"/>
      <c r="BW88" s="46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  <c r="IU88" s="43"/>
      <c r="IV88" s="43"/>
      <c r="IW88" s="43"/>
      <c r="IX88" s="43"/>
      <c r="IY88" s="43"/>
      <c r="IZ88" s="43"/>
      <c r="JA88" s="43"/>
      <c r="JB88" s="43"/>
      <c r="JC88" s="43"/>
      <c r="JD88" s="43"/>
      <c r="JE88" s="43"/>
      <c r="JF88" s="43"/>
      <c r="JG88" s="43"/>
      <c r="JH88" s="43"/>
      <c r="JI88" s="43"/>
      <c r="JJ88" s="43"/>
      <c r="JK88" s="43"/>
      <c r="JL88" s="43"/>
      <c r="JM88" s="43"/>
      <c r="JN88" s="43"/>
      <c r="JO88" s="43"/>
      <c r="JP88" s="43"/>
      <c r="JQ88" s="43"/>
      <c r="JR88" s="43"/>
      <c r="JS88" s="43"/>
      <c r="JT88" s="43"/>
      <c r="JU88" s="43"/>
      <c r="JV88" s="43"/>
      <c r="JW88" s="43"/>
      <c r="JX88" s="43"/>
      <c r="JY88" s="43"/>
      <c r="JZ88" s="43"/>
      <c r="KA88" s="43"/>
      <c r="KB88" s="43"/>
      <c r="KC88" s="43"/>
      <c r="KD88" s="43"/>
      <c r="KE88" s="43"/>
      <c r="KF88" s="43"/>
      <c r="KG88" s="43"/>
      <c r="KH88" s="43"/>
      <c r="KI88" s="43"/>
      <c r="KJ88" s="43"/>
      <c r="KK88" s="44"/>
      <c r="KL88" s="45"/>
      <c r="KM88" s="46"/>
      <c r="KN88" s="43"/>
      <c r="KO88" s="43"/>
      <c r="KP88" s="43"/>
      <c r="KQ88" s="43"/>
      <c r="KR88" s="43"/>
      <c r="KS88" s="43"/>
      <c r="KT88" s="43"/>
      <c r="KU88" s="43"/>
      <c r="KV88" s="43"/>
      <c r="KW88" s="43"/>
      <c r="KX88" s="43"/>
      <c r="KY88" s="43"/>
      <c r="KZ88" s="43"/>
      <c r="LA88" s="43"/>
      <c r="LB88" s="43"/>
      <c r="LC88" s="43"/>
      <c r="LD88" s="43"/>
      <c r="LE88" s="43"/>
      <c r="LF88" s="43"/>
      <c r="LG88" s="43"/>
      <c r="LH88" s="43"/>
      <c r="LI88" s="43"/>
      <c r="LJ88" s="43"/>
      <c r="LK88" s="43"/>
      <c r="LL88" s="43"/>
      <c r="LM88" s="43"/>
      <c r="LN88" s="43"/>
      <c r="LO88" s="43"/>
      <c r="LP88" s="43"/>
      <c r="LQ88" s="43"/>
      <c r="LR88" s="43"/>
      <c r="LS88" s="43"/>
      <c r="LT88" s="43"/>
      <c r="LU88" s="43"/>
      <c r="LV88" s="43"/>
      <c r="LW88" s="43"/>
      <c r="LX88" s="43"/>
      <c r="LY88" s="43"/>
      <c r="LZ88" s="43"/>
      <c r="MA88" s="43"/>
      <c r="MB88" s="43"/>
      <c r="MC88" s="43"/>
      <c r="MD88" s="43"/>
      <c r="ME88" s="43"/>
      <c r="MF88" s="43"/>
      <c r="MG88" s="43"/>
      <c r="MH88" s="47"/>
    </row>
  </sheetData>
  <mergeCells count="185">
    <mergeCell ref="D15:D16"/>
    <mergeCell ref="C15:C16"/>
    <mergeCell ref="B15:B16"/>
    <mergeCell ref="B33:B34"/>
    <mergeCell ref="C33:C34"/>
    <mergeCell ref="D33:D34"/>
    <mergeCell ref="D83:D84"/>
    <mergeCell ref="D85:D86"/>
    <mergeCell ref="D87:D88"/>
    <mergeCell ref="B77:B78"/>
    <mergeCell ref="C77:C78"/>
    <mergeCell ref="B79:B80"/>
    <mergeCell ref="C79:C80"/>
    <mergeCell ref="B81:B82"/>
    <mergeCell ref="C81:C82"/>
    <mergeCell ref="B83:B84"/>
    <mergeCell ref="C83:C84"/>
    <mergeCell ref="B85:B86"/>
    <mergeCell ref="C85:C86"/>
    <mergeCell ref="B87:B88"/>
    <mergeCell ref="C87:C88"/>
    <mergeCell ref="D51:D52"/>
    <mergeCell ref="B55:B56"/>
    <mergeCell ref="C55:C56"/>
    <mergeCell ref="B31:B32"/>
    <mergeCell ref="B43:B44"/>
    <mergeCell ref="C43:C44"/>
    <mergeCell ref="D43:D44"/>
    <mergeCell ref="B75:B76"/>
    <mergeCell ref="C75:C76"/>
    <mergeCell ref="A69:A80"/>
    <mergeCell ref="B57:B58"/>
    <mergeCell ref="C57:C58"/>
    <mergeCell ref="B53:B54"/>
    <mergeCell ref="C53:C54"/>
    <mergeCell ref="D53:D54"/>
    <mergeCell ref="B59:B60"/>
    <mergeCell ref="C59:C60"/>
    <mergeCell ref="C41:C42"/>
    <mergeCell ref="D41:D42"/>
    <mergeCell ref="B45:B46"/>
    <mergeCell ref="C45:C46"/>
    <mergeCell ref="D45:D46"/>
    <mergeCell ref="B51:B52"/>
    <mergeCell ref="C51:C52"/>
    <mergeCell ref="D55:D56"/>
    <mergeCell ref="B47:B48"/>
    <mergeCell ref="C47:C48"/>
    <mergeCell ref="A81:A88"/>
    <mergeCell ref="B61:B62"/>
    <mergeCell ref="C61:C62"/>
    <mergeCell ref="B63:B64"/>
    <mergeCell ref="C63:C64"/>
    <mergeCell ref="B69:B70"/>
    <mergeCell ref="C69:C70"/>
    <mergeCell ref="B71:B72"/>
    <mergeCell ref="C71:C72"/>
    <mergeCell ref="B73:B74"/>
    <mergeCell ref="C73:C74"/>
    <mergeCell ref="A57:A68"/>
    <mergeCell ref="D47:D48"/>
    <mergeCell ref="B49:B50"/>
    <mergeCell ref="C49:C50"/>
    <mergeCell ref="D49:D50"/>
    <mergeCell ref="K1:T1"/>
    <mergeCell ref="D81:D82"/>
    <mergeCell ref="D75:D76"/>
    <mergeCell ref="D77:D78"/>
    <mergeCell ref="D79:D80"/>
    <mergeCell ref="D73:D74"/>
    <mergeCell ref="D71:D72"/>
    <mergeCell ref="D67:D68"/>
    <mergeCell ref="D69:D70"/>
    <mergeCell ref="D65:D66"/>
    <mergeCell ref="B65:B66"/>
    <mergeCell ref="C65:C66"/>
    <mergeCell ref="B67:B68"/>
    <mergeCell ref="C67:C68"/>
    <mergeCell ref="D63:D64"/>
    <mergeCell ref="D57:D58"/>
    <mergeCell ref="D59:D60"/>
    <mergeCell ref="D61:D62"/>
    <mergeCell ref="D27:D28"/>
    <mergeCell ref="C27:C28"/>
    <mergeCell ref="A37:A56"/>
    <mergeCell ref="B39:B40"/>
    <mergeCell ref="C39:C40"/>
    <mergeCell ref="D39:D40"/>
    <mergeCell ref="B41:B42"/>
    <mergeCell ref="B19:B20"/>
    <mergeCell ref="C19:C20"/>
    <mergeCell ref="D19:D20"/>
    <mergeCell ref="C23:C24"/>
    <mergeCell ref="D23:D24"/>
    <mergeCell ref="B23:B24"/>
    <mergeCell ref="D37:D38"/>
    <mergeCell ref="B37:B38"/>
    <mergeCell ref="C37:C38"/>
    <mergeCell ref="B21:B22"/>
    <mergeCell ref="C21:C22"/>
    <mergeCell ref="D21:D22"/>
    <mergeCell ref="B25:B26"/>
    <mergeCell ref="C25:C26"/>
    <mergeCell ref="D25:D26"/>
    <mergeCell ref="B27:B28"/>
    <mergeCell ref="B35:B36"/>
    <mergeCell ref="C35:C36"/>
    <mergeCell ref="D35:D36"/>
    <mergeCell ref="C31:C32"/>
    <mergeCell ref="D31:D32"/>
    <mergeCell ref="B29:B30"/>
    <mergeCell ref="IA4:IG4"/>
    <mergeCell ref="FB4:FH4"/>
    <mergeCell ref="FI4:FO4"/>
    <mergeCell ref="FP4:FV4"/>
    <mergeCell ref="FW4:GC4"/>
    <mergeCell ref="GD4:GJ4"/>
    <mergeCell ref="GK4:GQ4"/>
    <mergeCell ref="HM4:HS4"/>
    <mergeCell ref="B17:B18"/>
    <mergeCell ref="C17:C18"/>
    <mergeCell ref="D17:D18"/>
    <mergeCell ref="DS4:DY4"/>
    <mergeCell ref="DZ4:EF4"/>
    <mergeCell ref="EG4:EM4"/>
    <mergeCell ref="EN4:ET4"/>
    <mergeCell ref="EU4:FA4"/>
    <mergeCell ref="BV4:CB4"/>
    <mergeCell ref="CX4:DD4"/>
    <mergeCell ref="Y4:AE4"/>
    <mergeCell ref="CC4:CI4"/>
    <mergeCell ref="CJ4:CP4"/>
    <mergeCell ref="MB4:MH4"/>
    <mergeCell ref="MI4:MO4"/>
    <mergeCell ref="A6:B6"/>
    <mergeCell ref="B7:B8"/>
    <mergeCell ref="C7:C8"/>
    <mergeCell ref="D7:D8"/>
    <mergeCell ref="JX4:KD4"/>
    <mergeCell ref="KE4:KK4"/>
    <mergeCell ref="KL4:KR4"/>
    <mergeCell ref="KS4:KY4"/>
    <mergeCell ref="KZ4:LF4"/>
    <mergeCell ref="LG4:LM4"/>
    <mergeCell ref="IH4:IN4"/>
    <mergeCell ref="IO4:IU4"/>
    <mergeCell ref="IV4:JB4"/>
    <mergeCell ref="JC4:JI4"/>
    <mergeCell ref="JJ4:JP4"/>
    <mergeCell ref="JQ4:JW4"/>
    <mergeCell ref="A7:A36"/>
    <mergeCell ref="C29:C30"/>
    <mergeCell ref="D29:D30"/>
    <mergeCell ref="GR4:GX4"/>
    <mergeCell ref="GY4:HE4"/>
    <mergeCell ref="HF4:HL4"/>
    <mergeCell ref="LU4:MA4"/>
    <mergeCell ref="LN4:LT4"/>
    <mergeCell ref="DL4:DR4"/>
    <mergeCell ref="CQ4:CW4"/>
    <mergeCell ref="DE4:DK4"/>
    <mergeCell ref="AF4:AL4"/>
    <mergeCell ref="AM4:AS4"/>
    <mergeCell ref="AT4:AZ4"/>
    <mergeCell ref="BA4:BG4"/>
    <mergeCell ref="BH4:BN4"/>
    <mergeCell ref="BO4:BU4"/>
    <mergeCell ref="HT4:HZ4"/>
    <mergeCell ref="B13:B14"/>
    <mergeCell ref="C13:C14"/>
    <mergeCell ref="D13:D14"/>
    <mergeCell ref="B11:B12"/>
    <mergeCell ref="C11:C12"/>
    <mergeCell ref="D11:D12"/>
    <mergeCell ref="F2:G2"/>
    <mergeCell ref="F3:G3"/>
    <mergeCell ref="K4:Q4"/>
    <mergeCell ref="K2:O2"/>
    <mergeCell ref="K3:O3"/>
    <mergeCell ref="P2:T2"/>
    <mergeCell ref="P3:T3"/>
    <mergeCell ref="C9:C10"/>
    <mergeCell ref="D9:D10"/>
    <mergeCell ref="B9:B10"/>
    <mergeCell ref="R4:X4"/>
  </mergeCells>
  <conditionalFormatting sqref="K35:MH52 K55:MH88 K17:MH28 K7:MH12">
    <cfRule type="expression" dxfId="20" priority="46">
      <formula>AND(task_start&lt;=K$5,ROUNDDOWN((task_end-task_start+1)*task_progress,0)+task_start-1&gt;=K$5)</formula>
    </cfRule>
    <cfRule type="expression" dxfId="19" priority="47" stopIfTrue="1">
      <formula>AND(task_end&gt;=K$5,task_start&lt;K$5+1)</formula>
    </cfRule>
  </conditionalFormatting>
  <conditionalFormatting sqref="K35:MH52 K55:MH88 K17:MH28 K5:MH12">
    <cfRule type="expression" dxfId="18" priority="48">
      <formula>AND(today&gt;=K$5,today&lt;K$5+1)</formula>
    </cfRule>
  </conditionalFormatting>
  <conditionalFormatting sqref="K31:MH32">
    <cfRule type="expression" dxfId="17" priority="42">
      <formula>AND(task_start&lt;=K$5,ROUNDDOWN((task_end-task_start+1)*task_progress,0)+task_start-1&gt;=K$5)</formula>
    </cfRule>
    <cfRule type="expression" dxfId="16" priority="43" stopIfTrue="1">
      <formula>AND(task_end&gt;=K$5,task_start&lt;K$5+1)</formula>
    </cfRule>
  </conditionalFormatting>
  <conditionalFormatting sqref="K31:MH32">
    <cfRule type="expression" dxfId="15" priority="44">
      <formula>AND(today&gt;=K$5,today&lt;K$5+1)</formula>
    </cfRule>
  </conditionalFormatting>
  <conditionalFormatting sqref="K53:MH54">
    <cfRule type="expression" dxfId="14" priority="34">
      <formula>AND(task_start&lt;=K$5,ROUNDDOWN((task_end-task_start+1)*task_progress,0)+task_start-1&gt;=K$5)</formula>
    </cfRule>
    <cfRule type="expression" dxfId="13" priority="35" stopIfTrue="1">
      <formula>AND(task_end&gt;=K$5,task_start&lt;K$5+1)</formula>
    </cfRule>
  </conditionalFormatting>
  <conditionalFormatting sqref="K53:MH54">
    <cfRule type="expression" dxfId="12" priority="36">
      <formula>AND(today&gt;=K$5,today&lt;K$5+1)</formula>
    </cfRule>
  </conditionalFormatting>
  <conditionalFormatting sqref="K29:MH30">
    <cfRule type="expression" dxfId="11" priority="27">
      <formula>AND(task_start&lt;=K$5,ROUNDDOWN((task_end-task_start+1)*task_progress,0)+task_start-1&gt;=K$5)</formula>
    </cfRule>
    <cfRule type="expression" dxfId="10" priority="28" stopIfTrue="1">
      <formula>AND(task_end&gt;=K$5,task_start&lt;K$5+1)</formula>
    </cfRule>
  </conditionalFormatting>
  <conditionalFormatting sqref="K29:MH30">
    <cfRule type="expression" dxfId="9" priority="29">
      <formula>AND(today&gt;=K$5,today&lt;K$5+1)</formula>
    </cfRule>
  </conditionalFormatting>
  <conditionalFormatting sqref="E7:E88">
    <cfRule type="dataBar" priority="20">
      <dataBar>
        <cfvo type="num" val="0"/>
        <cfvo type="num" val="1"/>
        <color rgb="FF00CC66"/>
      </dataBar>
      <extLst>
        <ext xmlns:x14="http://schemas.microsoft.com/office/spreadsheetml/2009/9/main" uri="{B025F937-C7B1-47D3-B67F-A62EFF666E3E}">
          <x14:id>{95C40421-F229-4801-BDE2-EAAC65A615FA}</x14:id>
        </ext>
      </extLst>
    </cfRule>
  </conditionalFormatting>
  <conditionalFormatting sqref="K13:MH14">
    <cfRule type="expression" dxfId="8" priority="9">
      <formula>AND(task_start&lt;=K$5,ROUNDDOWN((task_end-task_start+1)*task_progress,0)+task_start-1&gt;=K$5)</formula>
    </cfRule>
    <cfRule type="expression" dxfId="7" priority="10" stopIfTrue="1">
      <formula>AND(task_end&gt;=K$5,task_start&lt;K$5+1)</formula>
    </cfRule>
  </conditionalFormatting>
  <conditionalFormatting sqref="K13:MH14">
    <cfRule type="expression" dxfId="6" priority="11">
      <formula>AND(today&gt;=K$5,today&lt;K$5+1)</formula>
    </cfRule>
  </conditionalFormatting>
  <conditionalFormatting sqref="K33:MH34">
    <cfRule type="expression" dxfId="5" priority="5">
      <formula>AND(task_start&lt;=K$5,ROUNDDOWN((task_end-task_start+1)*task_progress,0)+task_start-1&gt;=K$5)</formula>
    </cfRule>
    <cfRule type="expression" dxfId="4" priority="6" stopIfTrue="1">
      <formula>AND(task_end&gt;=K$5,task_start&lt;K$5+1)</formula>
    </cfRule>
  </conditionalFormatting>
  <conditionalFormatting sqref="K33:MH34">
    <cfRule type="expression" dxfId="3" priority="7">
      <formula>AND(today&gt;=K$5,today&lt;K$5+1)</formula>
    </cfRule>
  </conditionalFormatting>
  <conditionalFormatting sqref="E33:E34">
    <cfRule type="dataBar" priority="4">
      <dataBar>
        <cfvo type="num" val="0"/>
        <cfvo type="num" val="1"/>
        <color rgb="FF00CC66"/>
      </dataBar>
      <extLst>
        <ext xmlns:x14="http://schemas.microsoft.com/office/spreadsheetml/2009/9/main" uri="{B025F937-C7B1-47D3-B67F-A62EFF666E3E}">
          <x14:id>{8BF289E0-D411-43A4-BC5A-3DED2A687E48}</x14:id>
        </ext>
      </extLst>
    </cfRule>
  </conditionalFormatting>
  <conditionalFormatting sqref="K15:MH16">
    <cfRule type="expression" dxfId="2" priority="1">
      <formula>AND(task_start&lt;=K$5,ROUNDDOWN((task_end-task_start+1)*task_progress,0)+task_start-1&gt;=K$5)</formula>
    </cfRule>
    <cfRule type="expression" dxfId="1" priority="2" stopIfTrue="1">
      <formula>AND(task_end&gt;=K$5,task_start&lt;K$5+1)</formula>
    </cfRule>
  </conditionalFormatting>
  <conditionalFormatting sqref="K15:MH16">
    <cfRule type="expression" dxfId="0" priority="3">
      <formula>AND(today&gt;=K$5,today&lt;K$5+1)</formula>
    </cfRule>
  </conditionalFormatting>
  <dataValidations disablePrompts="1" count="1">
    <dataValidation type="whole" operator="greaterThanOrEqual" allowBlank="1" showInputMessage="1" promptTitle="Display Week" prompt="Changing this number will scroll the Gantt Chart view." sqref="F4" xr:uid="{00000000-0002-0000-0100-000000000000}">
      <formula1>1</formula1>
    </dataValidation>
  </dataValidations>
  <pageMargins left="0.35433070866141736" right="0.35433070866141736" top="0.35433070866141736" bottom="0.51181102362204722" header="0.31496062992125984" footer="0.31496062992125984"/>
  <pageSetup paperSize="8" scale="44" orientation="landscape" r:id="rId1"/>
  <headerFooter scaleWithDoc="0"/>
  <ignoredErrors>
    <ignoredError sqref="B25 B29 B31" numberStoredAsText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C40421-F229-4801-BDE2-EAAC65A615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E7:E88</xm:sqref>
        </x14:conditionalFormatting>
        <x14:conditionalFormatting xmlns:xm="http://schemas.microsoft.com/office/excel/2006/main">
          <x14:cfRule type="dataBar" id="{8BF289E0-D411-43A4-BC5A-3DED2A687E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E33:E34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0907-5F01-421B-8B76-7234A578AB0C}">
  <dimension ref="A1:V96"/>
  <sheetViews>
    <sheetView tabSelected="1" zoomScale="115" zoomScaleNormal="115" zoomScaleSheetLayoutView="70" workbookViewId="0">
      <pane xSplit="9" ySplit="3" topLeftCell="J25" activePane="bottomRight" state="frozen"/>
      <selection pane="topRight" activeCell="E1" sqref="E1"/>
      <selection pane="bottomLeft" activeCell="A4" sqref="A4"/>
      <selection pane="bottomRight" activeCell="O3" sqref="O3"/>
    </sheetView>
  </sheetViews>
  <sheetFormatPr defaultColWidth="8.6640625" defaultRowHeight="14.4"/>
  <cols>
    <col min="1" max="1" width="2.77734375" style="101" customWidth="1"/>
    <col min="2" max="2" width="5.44140625" style="101" customWidth="1"/>
    <col min="3" max="3" width="48.33203125" style="102" customWidth="1"/>
    <col min="4" max="4" width="18" style="103" hidden="1" customWidth="1"/>
    <col min="5" max="5" width="8.44140625" style="103" customWidth="1"/>
    <col min="6" max="6" width="9" style="103" customWidth="1"/>
    <col min="7" max="7" width="15.88671875" style="103" customWidth="1"/>
    <col min="8" max="8" width="7.33203125" style="103" customWidth="1"/>
    <col min="9" max="9" width="21.77734375" style="101" bestFit="1" customWidth="1"/>
    <col min="10" max="10" width="16.33203125" style="101" customWidth="1"/>
    <col min="11" max="11" width="17.33203125" style="101" customWidth="1"/>
    <col min="12" max="12" width="16.33203125" style="101" customWidth="1"/>
    <col min="13" max="13" width="13.44140625" style="101" customWidth="1"/>
    <col min="14" max="14" width="16.33203125" style="105" customWidth="1"/>
    <col min="15" max="15" width="13.109375" style="105" customWidth="1"/>
    <col min="16" max="16" width="15.6640625" style="105" customWidth="1"/>
    <col min="17" max="17" width="12.88671875" style="105" customWidth="1"/>
    <col min="18" max="18" width="12.33203125" style="101" customWidth="1"/>
    <col min="19" max="19" width="15.33203125" style="101" customWidth="1"/>
    <col min="20" max="20" width="21.44140625" style="105" customWidth="1"/>
    <col min="21" max="21" width="0.33203125" style="105" customWidth="1"/>
    <col min="22" max="22" width="61.33203125" style="101" bestFit="1" customWidth="1"/>
    <col min="23" max="24" width="5.109375" style="101" customWidth="1"/>
    <col min="25" max="25" width="22.88671875" style="101" customWidth="1"/>
    <col min="26" max="26" width="22.109375" style="101" customWidth="1"/>
    <col min="27" max="16384" width="8.6640625" style="101"/>
  </cols>
  <sheetData>
    <row r="1" spans="1:22" ht="15.6" customHeight="1" thickBot="1">
      <c r="K1" s="104"/>
      <c r="L1" s="104"/>
      <c r="O1" s="106"/>
      <c r="P1" s="106"/>
      <c r="S1" s="105"/>
    </row>
    <row r="2" spans="1:22" ht="33" customHeight="1">
      <c r="B2" s="281" t="s">
        <v>119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3"/>
    </row>
    <row r="3" spans="1:22" s="111" customFormat="1" ht="87" customHeight="1">
      <c r="B3" s="130" t="s">
        <v>120</v>
      </c>
      <c r="C3" s="108" t="s">
        <v>121</v>
      </c>
      <c r="D3" s="109" t="s">
        <v>122</v>
      </c>
      <c r="E3" s="109" t="s">
        <v>123</v>
      </c>
      <c r="F3" s="109" t="s">
        <v>124</v>
      </c>
      <c r="G3" s="109" t="s">
        <v>125</v>
      </c>
      <c r="H3" s="107" t="s">
        <v>126</v>
      </c>
      <c r="I3" s="107" t="s">
        <v>127</v>
      </c>
      <c r="J3" s="109" t="s">
        <v>128</v>
      </c>
      <c r="K3" s="107" t="s">
        <v>129</v>
      </c>
      <c r="L3" s="109" t="s">
        <v>130</v>
      </c>
      <c r="M3" s="109" t="s">
        <v>131</v>
      </c>
      <c r="N3" s="110" t="s">
        <v>132</v>
      </c>
      <c r="O3" s="110" t="s">
        <v>133</v>
      </c>
      <c r="P3" s="110" t="s">
        <v>134</v>
      </c>
      <c r="Q3" s="110" t="s">
        <v>135</v>
      </c>
      <c r="R3" s="109" t="s">
        <v>136</v>
      </c>
      <c r="S3" s="109" t="s">
        <v>137</v>
      </c>
      <c r="T3" s="110" t="s">
        <v>138</v>
      </c>
      <c r="U3" s="110" t="s">
        <v>139</v>
      </c>
      <c r="V3" s="131" t="s">
        <v>140</v>
      </c>
    </row>
    <row r="4" spans="1:22" ht="14.4" customHeight="1">
      <c r="B4" s="132">
        <v>1</v>
      </c>
      <c r="C4" s="112" t="s">
        <v>141</v>
      </c>
      <c r="D4" s="113"/>
      <c r="E4" s="113">
        <v>16</v>
      </c>
      <c r="F4" s="113">
        <v>9</v>
      </c>
      <c r="G4" s="113">
        <v>7</v>
      </c>
      <c r="H4" s="114">
        <f>SUM(E4:G4)</f>
        <v>32</v>
      </c>
      <c r="I4" s="115" t="s">
        <v>142</v>
      </c>
      <c r="J4" s="180" t="s">
        <v>143</v>
      </c>
      <c r="K4" s="122" t="s">
        <v>144</v>
      </c>
      <c r="L4" s="116">
        <f>N4-5</f>
        <v>45916</v>
      </c>
      <c r="M4" s="115"/>
      <c r="N4" s="116">
        <f>P4-5</f>
        <v>45921</v>
      </c>
      <c r="O4" s="116"/>
      <c r="P4" s="116">
        <f>+S4-(R4*7)</f>
        <v>45926</v>
      </c>
      <c r="Q4" s="117"/>
      <c r="R4" s="115">
        <v>18</v>
      </c>
      <c r="S4" s="116">
        <v>46052</v>
      </c>
      <c r="T4" s="119"/>
      <c r="U4" s="120"/>
      <c r="V4" s="133"/>
    </row>
    <row r="5" spans="1:22" ht="14.4" customHeight="1">
      <c r="B5" s="132">
        <v>2</v>
      </c>
      <c r="C5" s="112" t="s">
        <v>145</v>
      </c>
      <c r="D5" s="113"/>
      <c r="E5" s="113">
        <v>4</v>
      </c>
      <c r="F5" s="113">
        <v>6</v>
      </c>
      <c r="G5" s="113">
        <v>0</v>
      </c>
      <c r="H5" s="114">
        <f t="shared" ref="H5:H84" si="0">SUM(E5:G5)</f>
        <v>10</v>
      </c>
      <c r="I5" s="115" t="s">
        <v>142</v>
      </c>
      <c r="J5" s="180" t="s">
        <v>143</v>
      </c>
      <c r="K5" s="122" t="s">
        <v>144</v>
      </c>
      <c r="L5" s="116">
        <f t="shared" ref="L5:L68" si="1">N5-5</f>
        <v>45916</v>
      </c>
      <c r="M5" s="115"/>
      <c r="N5" s="116">
        <f t="shared" ref="N5:N68" si="2">P5-5</f>
        <v>45921</v>
      </c>
      <c r="O5" s="116"/>
      <c r="P5" s="116">
        <f t="shared" ref="P5:P68" si="3">+S5-(R5*7)</f>
        <v>45926</v>
      </c>
      <c r="Q5" s="117"/>
      <c r="R5" s="115">
        <v>18</v>
      </c>
      <c r="S5" s="116">
        <v>46052</v>
      </c>
      <c r="T5" s="116"/>
      <c r="U5" s="120"/>
      <c r="V5" s="133"/>
    </row>
    <row r="6" spans="1:22" ht="14.4" customHeight="1">
      <c r="B6" s="132">
        <v>3</v>
      </c>
      <c r="C6" s="112" t="s">
        <v>146</v>
      </c>
      <c r="D6" s="113"/>
      <c r="E6" s="113">
        <v>2</v>
      </c>
      <c r="F6" s="113">
        <v>2</v>
      </c>
      <c r="G6" s="113">
        <v>0</v>
      </c>
      <c r="H6" s="114">
        <f t="shared" si="0"/>
        <v>4</v>
      </c>
      <c r="I6" s="115" t="s">
        <v>142</v>
      </c>
      <c r="J6" s="180" t="s">
        <v>143</v>
      </c>
      <c r="K6" s="122" t="s">
        <v>144</v>
      </c>
      <c r="L6" s="116">
        <f t="shared" si="1"/>
        <v>45916</v>
      </c>
      <c r="M6" s="115"/>
      <c r="N6" s="116">
        <f t="shared" si="2"/>
        <v>45921</v>
      </c>
      <c r="O6" s="116"/>
      <c r="P6" s="116">
        <f t="shared" ref="P6:P7" si="4">+S6-(R6*7)</f>
        <v>45926</v>
      </c>
      <c r="Q6" s="117"/>
      <c r="R6" s="115">
        <v>18</v>
      </c>
      <c r="S6" s="116">
        <v>46052</v>
      </c>
      <c r="T6" s="116"/>
      <c r="U6" s="120"/>
      <c r="V6" s="133"/>
    </row>
    <row r="7" spans="1:22" ht="14.4" customHeight="1">
      <c r="B7" s="132">
        <v>4</v>
      </c>
      <c r="C7" s="112" t="s">
        <v>147</v>
      </c>
      <c r="D7" s="113"/>
      <c r="E7" s="113">
        <v>2</v>
      </c>
      <c r="F7" s="113">
        <v>0</v>
      </c>
      <c r="G7" s="113">
        <v>7</v>
      </c>
      <c r="H7" s="114">
        <f t="shared" si="0"/>
        <v>9</v>
      </c>
      <c r="I7" s="115" t="s">
        <v>142</v>
      </c>
      <c r="J7" s="180" t="s">
        <v>143</v>
      </c>
      <c r="K7" s="122" t="s">
        <v>144</v>
      </c>
      <c r="L7" s="116">
        <f t="shared" si="1"/>
        <v>45916</v>
      </c>
      <c r="M7" s="115"/>
      <c r="N7" s="116">
        <f t="shared" si="2"/>
        <v>45921</v>
      </c>
      <c r="O7" s="116"/>
      <c r="P7" s="116">
        <f t="shared" si="4"/>
        <v>45926</v>
      </c>
      <c r="Q7" s="117"/>
      <c r="R7" s="115">
        <v>18</v>
      </c>
      <c r="S7" s="116">
        <v>46052</v>
      </c>
      <c r="T7" s="116"/>
      <c r="U7" s="120"/>
      <c r="V7" s="133"/>
    </row>
    <row r="8" spans="1:22" ht="14.4" customHeight="1">
      <c r="B8" s="132">
        <v>5</v>
      </c>
      <c r="C8" s="112" t="s">
        <v>148</v>
      </c>
      <c r="D8" s="113"/>
      <c r="E8" s="113">
        <v>2</v>
      </c>
      <c r="F8" s="113">
        <v>0</v>
      </c>
      <c r="G8" s="113">
        <v>7</v>
      </c>
      <c r="H8" s="114">
        <f t="shared" si="0"/>
        <v>9</v>
      </c>
      <c r="I8" s="115" t="s">
        <v>149</v>
      </c>
      <c r="J8" s="115" t="s">
        <v>150</v>
      </c>
      <c r="K8" s="284" t="s">
        <v>158</v>
      </c>
      <c r="L8" s="116">
        <f t="shared" si="1"/>
        <v>45907</v>
      </c>
      <c r="M8" s="115"/>
      <c r="N8" s="116">
        <f t="shared" si="2"/>
        <v>45912</v>
      </c>
      <c r="O8" s="116"/>
      <c r="P8" s="116">
        <f t="shared" si="3"/>
        <v>45917</v>
      </c>
      <c r="Q8" s="117"/>
      <c r="R8" s="118">
        <v>12</v>
      </c>
      <c r="S8" s="126">
        <v>46001</v>
      </c>
      <c r="T8" s="116"/>
      <c r="U8" s="120"/>
      <c r="V8" s="133"/>
    </row>
    <row r="9" spans="1:22" ht="14.4" customHeight="1">
      <c r="B9" s="132">
        <v>6</v>
      </c>
      <c r="C9" s="112" t="s">
        <v>151</v>
      </c>
      <c r="D9" s="113"/>
      <c r="E9" s="113">
        <v>2</v>
      </c>
      <c r="F9" s="113">
        <v>2</v>
      </c>
      <c r="G9" s="113">
        <v>0</v>
      </c>
      <c r="H9" s="114">
        <f t="shared" si="0"/>
        <v>4</v>
      </c>
      <c r="I9" s="115" t="s">
        <v>149</v>
      </c>
      <c r="J9" s="115" t="s">
        <v>150</v>
      </c>
      <c r="K9" s="284" t="s">
        <v>158</v>
      </c>
      <c r="L9" s="116">
        <f t="shared" si="1"/>
        <v>45908</v>
      </c>
      <c r="M9" s="115"/>
      <c r="N9" s="116">
        <f t="shared" si="2"/>
        <v>45913</v>
      </c>
      <c r="O9" s="116"/>
      <c r="P9" s="116">
        <f t="shared" si="3"/>
        <v>45918</v>
      </c>
      <c r="Q9" s="117"/>
      <c r="R9" s="118">
        <v>12</v>
      </c>
      <c r="S9" s="126">
        <v>46002</v>
      </c>
      <c r="T9" s="116"/>
      <c r="U9" s="120"/>
      <c r="V9" s="133"/>
    </row>
    <row r="10" spans="1:22" ht="14.4" customHeight="1">
      <c r="B10" s="132">
        <v>7</v>
      </c>
      <c r="C10" s="112" t="s">
        <v>152</v>
      </c>
      <c r="D10" s="113"/>
      <c r="E10" s="113">
        <v>12</v>
      </c>
      <c r="F10" s="113">
        <v>9</v>
      </c>
      <c r="G10" s="113">
        <v>7</v>
      </c>
      <c r="H10" s="114">
        <v>32</v>
      </c>
      <c r="I10" s="115" t="s">
        <v>142</v>
      </c>
      <c r="J10" s="180" t="s">
        <v>143</v>
      </c>
      <c r="K10" s="122" t="s">
        <v>144</v>
      </c>
      <c r="L10" s="116">
        <f t="shared" si="1"/>
        <v>45916</v>
      </c>
      <c r="M10" s="115"/>
      <c r="N10" s="116">
        <f t="shared" si="2"/>
        <v>45921</v>
      </c>
      <c r="O10" s="116"/>
      <c r="P10" s="116">
        <f t="shared" si="3"/>
        <v>45926</v>
      </c>
      <c r="Q10" s="117"/>
      <c r="R10" s="118">
        <v>18</v>
      </c>
      <c r="S10" s="126">
        <v>46052</v>
      </c>
      <c r="T10" s="116"/>
      <c r="U10" s="120"/>
      <c r="V10" s="133"/>
    </row>
    <row r="11" spans="1:22" ht="14.4" customHeight="1">
      <c r="B11" s="132">
        <v>8</v>
      </c>
      <c r="C11" s="112" t="s">
        <v>154</v>
      </c>
      <c r="D11" s="113"/>
      <c r="E11" s="113">
        <v>33</v>
      </c>
      <c r="F11" s="113">
        <v>3</v>
      </c>
      <c r="G11" s="113">
        <v>0</v>
      </c>
      <c r="H11" s="114">
        <f t="shared" si="0"/>
        <v>36</v>
      </c>
      <c r="I11" s="115" t="s">
        <v>155</v>
      </c>
      <c r="J11" s="180" t="s">
        <v>143</v>
      </c>
      <c r="K11" s="284" t="s">
        <v>153</v>
      </c>
      <c r="L11" s="116">
        <f t="shared" si="1"/>
        <v>45930</v>
      </c>
      <c r="M11" s="115"/>
      <c r="N11" s="116">
        <f t="shared" si="2"/>
        <v>45935</v>
      </c>
      <c r="O11" s="116"/>
      <c r="P11" s="116">
        <f t="shared" si="3"/>
        <v>45940</v>
      </c>
      <c r="Q11" s="117"/>
      <c r="R11" s="115">
        <v>16</v>
      </c>
      <c r="S11" s="116">
        <v>46052</v>
      </c>
      <c r="T11" s="116"/>
      <c r="U11" s="120"/>
      <c r="V11" s="133"/>
    </row>
    <row r="12" spans="1:22" ht="14.4" customHeight="1">
      <c r="B12" s="132">
        <v>9</v>
      </c>
      <c r="C12" s="112" t="s">
        <v>156</v>
      </c>
      <c r="D12" s="113"/>
      <c r="E12" s="113">
        <v>1247</v>
      </c>
      <c r="F12" s="113">
        <v>761</v>
      </c>
      <c r="G12" s="113">
        <v>390</v>
      </c>
      <c r="H12" s="114">
        <f t="shared" si="0"/>
        <v>2398</v>
      </c>
      <c r="I12" s="115" t="s">
        <v>157</v>
      </c>
      <c r="J12" s="115" t="s">
        <v>150</v>
      </c>
      <c r="K12" s="122" t="s">
        <v>144</v>
      </c>
      <c r="L12" s="177">
        <f>N12-5</f>
        <v>45902</v>
      </c>
      <c r="M12" s="115"/>
      <c r="N12" s="116">
        <f t="shared" si="2"/>
        <v>45907</v>
      </c>
      <c r="O12" s="116"/>
      <c r="P12" s="116">
        <f t="shared" si="3"/>
        <v>45912</v>
      </c>
      <c r="Q12" s="117"/>
      <c r="R12" s="115">
        <v>12</v>
      </c>
      <c r="S12" s="116">
        <v>45996</v>
      </c>
      <c r="T12" s="116"/>
      <c r="U12" s="120"/>
      <c r="V12" s="134"/>
    </row>
    <row r="13" spans="1:22" ht="14.4" customHeight="1">
      <c r="B13" s="132">
        <v>10</v>
      </c>
      <c r="C13" s="182" t="s">
        <v>159</v>
      </c>
      <c r="D13" s="113"/>
      <c r="E13" s="113"/>
      <c r="F13" s="113"/>
      <c r="G13" s="113"/>
      <c r="H13" s="114">
        <v>112</v>
      </c>
      <c r="I13" s="180" t="s">
        <v>160</v>
      </c>
      <c r="J13" s="180" t="s">
        <v>150</v>
      </c>
      <c r="K13" s="284" t="s">
        <v>158</v>
      </c>
      <c r="L13" s="116">
        <f t="shared" si="1"/>
        <v>45902</v>
      </c>
      <c r="M13" s="115"/>
      <c r="N13" s="116">
        <f t="shared" si="2"/>
        <v>45907</v>
      </c>
      <c r="O13" s="116"/>
      <c r="P13" s="116">
        <f t="shared" si="3"/>
        <v>45912</v>
      </c>
      <c r="Q13" s="117"/>
      <c r="R13" s="115">
        <v>12</v>
      </c>
      <c r="S13" s="116">
        <v>45996</v>
      </c>
      <c r="T13" s="116"/>
      <c r="U13" s="120"/>
      <c r="V13" s="134"/>
    </row>
    <row r="14" spans="1:22" ht="14.4" customHeight="1">
      <c r="B14" s="132">
        <v>11</v>
      </c>
      <c r="C14" s="112" t="s">
        <v>161</v>
      </c>
      <c r="D14" s="121">
        <v>8</v>
      </c>
      <c r="E14" s="113">
        <v>9</v>
      </c>
      <c r="F14" s="113">
        <v>0</v>
      </c>
      <c r="G14" s="113">
        <v>0</v>
      </c>
      <c r="H14" s="114">
        <f t="shared" si="0"/>
        <v>9</v>
      </c>
      <c r="I14" s="285" t="s">
        <v>162</v>
      </c>
      <c r="J14" s="115" t="s">
        <v>150</v>
      </c>
      <c r="K14" s="284" t="s">
        <v>300</v>
      </c>
      <c r="L14" s="116">
        <f t="shared" si="1"/>
        <v>45958</v>
      </c>
      <c r="M14" s="115"/>
      <c r="N14" s="116">
        <f t="shared" si="2"/>
        <v>45963</v>
      </c>
      <c r="O14" s="116"/>
      <c r="P14" s="116">
        <f t="shared" si="3"/>
        <v>45968</v>
      </c>
      <c r="Q14" s="117"/>
      <c r="R14" s="115">
        <v>12</v>
      </c>
      <c r="S14" s="116">
        <v>46052</v>
      </c>
      <c r="T14" s="119"/>
      <c r="U14" s="120"/>
      <c r="V14" s="134"/>
    </row>
    <row r="15" spans="1:22" ht="14.4" customHeight="1">
      <c r="B15" s="132">
        <v>12</v>
      </c>
      <c r="C15" s="112" t="s">
        <v>163</v>
      </c>
      <c r="D15" s="121">
        <v>7</v>
      </c>
      <c r="E15" s="113">
        <v>13</v>
      </c>
      <c r="F15" s="113">
        <v>0</v>
      </c>
      <c r="G15" s="113">
        <v>0</v>
      </c>
      <c r="H15" s="114">
        <f t="shared" si="0"/>
        <v>13</v>
      </c>
      <c r="I15" s="115" t="s">
        <v>164</v>
      </c>
      <c r="J15" s="115" t="s">
        <v>150</v>
      </c>
      <c r="K15" s="284" t="s">
        <v>300</v>
      </c>
      <c r="L15" s="116">
        <f t="shared" si="1"/>
        <v>45958</v>
      </c>
      <c r="M15" s="115"/>
      <c r="N15" s="116">
        <f t="shared" si="2"/>
        <v>45963</v>
      </c>
      <c r="O15" s="116"/>
      <c r="P15" s="116">
        <f t="shared" si="3"/>
        <v>45968</v>
      </c>
      <c r="Q15" s="117"/>
      <c r="R15" s="115">
        <v>12</v>
      </c>
      <c r="S15" s="116">
        <v>46052</v>
      </c>
      <c r="T15" s="119"/>
      <c r="U15" s="120"/>
      <c r="V15" s="134"/>
    </row>
    <row r="16" spans="1:22" ht="14.4" customHeight="1">
      <c r="A16" s="183"/>
      <c r="B16" s="132">
        <v>13</v>
      </c>
      <c r="C16" s="182" t="s">
        <v>165</v>
      </c>
      <c r="D16" s="121"/>
      <c r="E16" s="113"/>
      <c r="F16" s="113"/>
      <c r="G16" s="113"/>
      <c r="H16" s="114">
        <v>1</v>
      </c>
      <c r="I16" s="180" t="s">
        <v>166</v>
      </c>
      <c r="J16" s="180" t="s">
        <v>150</v>
      </c>
      <c r="K16" s="122" t="s">
        <v>144</v>
      </c>
      <c r="L16" s="116">
        <f t="shared" si="1"/>
        <v>45915</v>
      </c>
      <c r="M16" s="115"/>
      <c r="N16" s="116">
        <f t="shared" si="2"/>
        <v>45920</v>
      </c>
      <c r="O16" s="116"/>
      <c r="P16" s="116">
        <f t="shared" si="3"/>
        <v>45925</v>
      </c>
      <c r="Q16" s="117"/>
      <c r="R16" s="115">
        <v>16</v>
      </c>
      <c r="S16" s="116">
        <v>46037</v>
      </c>
      <c r="T16" s="119"/>
      <c r="U16" s="120"/>
      <c r="V16" s="134"/>
    </row>
    <row r="17" spans="2:22" ht="14.4" customHeight="1">
      <c r="B17" s="132">
        <v>14</v>
      </c>
      <c r="C17" s="286" t="s">
        <v>301</v>
      </c>
      <c r="D17" s="113"/>
      <c r="E17" s="113">
        <v>4</v>
      </c>
      <c r="F17" s="113">
        <v>0</v>
      </c>
      <c r="G17" s="113">
        <v>0</v>
      </c>
      <c r="H17" s="114">
        <f t="shared" si="0"/>
        <v>4</v>
      </c>
      <c r="I17" s="115" t="s">
        <v>164</v>
      </c>
      <c r="J17" s="115" t="s">
        <v>150</v>
      </c>
      <c r="K17" s="284" t="s">
        <v>300</v>
      </c>
      <c r="L17" s="116">
        <f t="shared" si="1"/>
        <v>45958</v>
      </c>
      <c r="M17" s="115"/>
      <c r="N17" s="116">
        <f t="shared" si="2"/>
        <v>45963</v>
      </c>
      <c r="O17" s="116"/>
      <c r="P17" s="116">
        <f t="shared" si="3"/>
        <v>45968</v>
      </c>
      <c r="Q17" s="117"/>
      <c r="R17" s="115">
        <v>12</v>
      </c>
      <c r="S17" s="116">
        <v>46052</v>
      </c>
      <c r="T17" s="119"/>
      <c r="U17" s="120"/>
      <c r="V17" s="133"/>
    </row>
    <row r="18" spans="2:22" ht="14.4" customHeight="1">
      <c r="B18" s="132">
        <v>15</v>
      </c>
      <c r="C18" s="182" t="s">
        <v>167</v>
      </c>
      <c r="D18" s="113"/>
      <c r="E18" s="113"/>
      <c r="F18" s="113"/>
      <c r="G18" s="113"/>
      <c r="H18" s="114">
        <v>33</v>
      </c>
      <c r="I18" s="180" t="s">
        <v>100</v>
      </c>
      <c r="J18" s="180" t="s">
        <v>150</v>
      </c>
      <c r="K18" s="122" t="s">
        <v>168</v>
      </c>
      <c r="L18" s="116">
        <f t="shared" si="1"/>
        <v>45986</v>
      </c>
      <c r="M18" s="115"/>
      <c r="N18" s="116">
        <f t="shared" si="2"/>
        <v>45991</v>
      </c>
      <c r="O18" s="116"/>
      <c r="P18" s="116">
        <f t="shared" si="3"/>
        <v>45996</v>
      </c>
      <c r="Q18" s="117"/>
      <c r="R18" s="115">
        <v>8</v>
      </c>
      <c r="S18" s="116">
        <v>46052</v>
      </c>
      <c r="T18" s="119"/>
      <c r="U18" s="120"/>
      <c r="V18" s="133"/>
    </row>
    <row r="19" spans="2:22" ht="14.4" customHeight="1">
      <c r="B19" s="132">
        <v>16</v>
      </c>
      <c r="C19" s="182" t="s">
        <v>169</v>
      </c>
      <c r="D19" s="113"/>
      <c r="E19" s="113"/>
      <c r="F19" s="113"/>
      <c r="G19" s="113"/>
      <c r="H19" s="114">
        <v>327</v>
      </c>
      <c r="I19" s="180" t="s">
        <v>170</v>
      </c>
      <c r="J19" s="180" t="s">
        <v>150</v>
      </c>
      <c r="K19" s="284" t="s">
        <v>158</v>
      </c>
      <c r="L19" s="116">
        <f t="shared" si="1"/>
        <v>45986</v>
      </c>
      <c r="M19" s="115"/>
      <c r="N19" s="116">
        <f t="shared" si="2"/>
        <v>45991</v>
      </c>
      <c r="O19" s="116"/>
      <c r="P19" s="116">
        <f t="shared" si="3"/>
        <v>45996</v>
      </c>
      <c r="Q19" s="117"/>
      <c r="R19" s="115">
        <v>8</v>
      </c>
      <c r="S19" s="116">
        <v>46052</v>
      </c>
      <c r="T19" s="119"/>
      <c r="U19" s="120"/>
      <c r="V19" s="133"/>
    </row>
    <row r="20" spans="2:22" ht="28.8">
      <c r="B20" s="132">
        <v>18</v>
      </c>
      <c r="C20" s="112" t="s">
        <v>171</v>
      </c>
      <c r="D20" s="113"/>
      <c r="E20" s="113">
        <v>5</v>
      </c>
      <c r="F20" s="113">
        <v>1</v>
      </c>
      <c r="G20" s="113">
        <v>2</v>
      </c>
      <c r="H20" s="114">
        <f t="shared" si="0"/>
        <v>8</v>
      </c>
      <c r="I20" s="180" t="s">
        <v>172</v>
      </c>
      <c r="J20" s="180" t="s">
        <v>143</v>
      </c>
      <c r="K20" s="122" t="s">
        <v>153</v>
      </c>
      <c r="L20" s="116">
        <f t="shared" si="1"/>
        <v>45930</v>
      </c>
      <c r="M20" s="180" t="s">
        <v>173</v>
      </c>
      <c r="N20" s="116">
        <f t="shared" si="2"/>
        <v>45935</v>
      </c>
      <c r="O20" s="116"/>
      <c r="P20" s="116">
        <f t="shared" si="3"/>
        <v>45940</v>
      </c>
      <c r="Q20" s="117"/>
      <c r="R20" s="115">
        <v>16</v>
      </c>
      <c r="S20" s="116">
        <v>46052</v>
      </c>
      <c r="T20" s="116"/>
      <c r="U20" s="120"/>
      <c r="V20" s="134"/>
    </row>
    <row r="21" spans="2:22" ht="28.8">
      <c r="B21" s="132">
        <v>19</v>
      </c>
      <c r="C21" s="112" t="s">
        <v>174</v>
      </c>
      <c r="D21" s="113"/>
      <c r="E21" s="113">
        <v>0</v>
      </c>
      <c r="F21" s="113">
        <v>1</v>
      </c>
      <c r="G21" s="113">
        <v>0</v>
      </c>
      <c r="H21" s="114">
        <f t="shared" si="0"/>
        <v>1</v>
      </c>
      <c r="I21" s="180" t="s">
        <v>172</v>
      </c>
      <c r="J21" s="180" t="s">
        <v>143</v>
      </c>
      <c r="K21" s="122" t="s">
        <v>153</v>
      </c>
      <c r="L21" s="116">
        <f t="shared" si="1"/>
        <v>45930</v>
      </c>
      <c r="M21" s="180" t="s">
        <v>173</v>
      </c>
      <c r="N21" s="116">
        <f t="shared" si="2"/>
        <v>45935</v>
      </c>
      <c r="O21" s="116"/>
      <c r="P21" s="116">
        <f t="shared" si="3"/>
        <v>45940</v>
      </c>
      <c r="Q21" s="117"/>
      <c r="R21" s="115">
        <v>16</v>
      </c>
      <c r="S21" s="116">
        <v>46052</v>
      </c>
      <c r="T21" s="116"/>
      <c r="U21" s="120"/>
      <c r="V21" s="134"/>
    </row>
    <row r="22" spans="2:22" ht="43.2">
      <c r="B22" s="132">
        <v>20</v>
      </c>
      <c r="C22" s="112" t="s">
        <v>175</v>
      </c>
      <c r="D22" s="113"/>
      <c r="E22" s="113">
        <v>4</v>
      </c>
      <c r="F22" s="113">
        <v>2</v>
      </c>
      <c r="G22" s="113">
        <v>4</v>
      </c>
      <c r="H22" s="114">
        <f t="shared" si="0"/>
        <v>10</v>
      </c>
      <c r="I22" s="180" t="s">
        <v>172</v>
      </c>
      <c r="J22" s="180" t="s">
        <v>143</v>
      </c>
      <c r="K22" s="122" t="s">
        <v>153</v>
      </c>
      <c r="L22" s="116">
        <f t="shared" si="1"/>
        <v>45930</v>
      </c>
      <c r="M22" s="180" t="s">
        <v>173</v>
      </c>
      <c r="N22" s="116">
        <f t="shared" si="2"/>
        <v>45935</v>
      </c>
      <c r="O22" s="116"/>
      <c r="P22" s="116">
        <f t="shared" si="3"/>
        <v>45940</v>
      </c>
      <c r="Q22" s="117"/>
      <c r="R22" s="115">
        <v>16</v>
      </c>
      <c r="S22" s="116">
        <v>46052</v>
      </c>
      <c r="T22" s="116"/>
      <c r="U22" s="120"/>
      <c r="V22" s="134"/>
    </row>
    <row r="23" spans="2:22" ht="13.95" customHeight="1">
      <c r="B23" s="132">
        <v>21</v>
      </c>
      <c r="C23" s="112" t="s">
        <v>176</v>
      </c>
      <c r="D23" s="113"/>
      <c r="E23" s="113">
        <v>25</v>
      </c>
      <c r="F23" s="113">
        <v>10</v>
      </c>
      <c r="G23" s="113">
        <v>7</v>
      </c>
      <c r="H23" s="114">
        <f t="shared" si="0"/>
        <v>42</v>
      </c>
      <c r="I23" s="180" t="s">
        <v>172</v>
      </c>
      <c r="J23" s="180" t="s">
        <v>143</v>
      </c>
      <c r="K23" s="122" t="s">
        <v>153</v>
      </c>
      <c r="L23" s="116">
        <f t="shared" si="1"/>
        <v>45930</v>
      </c>
      <c r="M23" s="180" t="s">
        <v>173</v>
      </c>
      <c r="N23" s="116">
        <f t="shared" si="2"/>
        <v>45935</v>
      </c>
      <c r="O23" s="116"/>
      <c r="P23" s="116">
        <f t="shared" si="3"/>
        <v>45940</v>
      </c>
      <c r="Q23" s="117"/>
      <c r="R23" s="115">
        <v>16</v>
      </c>
      <c r="S23" s="116">
        <v>46052</v>
      </c>
      <c r="T23" s="116"/>
      <c r="U23" s="120"/>
      <c r="V23" s="134"/>
    </row>
    <row r="24" spans="2:22" ht="13.95" customHeight="1">
      <c r="B24" s="132">
        <v>22</v>
      </c>
      <c r="C24" s="112" t="s">
        <v>177</v>
      </c>
      <c r="D24" s="113"/>
      <c r="E24" s="113">
        <v>13</v>
      </c>
      <c r="F24" s="113">
        <v>3</v>
      </c>
      <c r="G24" s="113">
        <v>3</v>
      </c>
      <c r="H24" s="114">
        <f t="shared" si="0"/>
        <v>19</v>
      </c>
      <c r="I24" s="180" t="s">
        <v>172</v>
      </c>
      <c r="J24" s="180" t="s">
        <v>143</v>
      </c>
      <c r="K24" s="122" t="s">
        <v>153</v>
      </c>
      <c r="L24" s="116">
        <f t="shared" si="1"/>
        <v>45930</v>
      </c>
      <c r="M24" s="180" t="s">
        <v>173</v>
      </c>
      <c r="N24" s="116">
        <f t="shared" si="2"/>
        <v>45935</v>
      </c>
      <c r="O24" s="116"/>
      <c r="P24" s="116">
        <f t="shared" si="3"/>
        <v>45940</v>
      </c>
      <c r="Q24" s="117"/>
      <c r="R24" s="115">
        <v>16</v>
      </c>
      <c r="S24" s="116">
        <v>46052</v>
      </c>
      <c r="T24" s="116"/>
      <c r="U24" s="120"/>
      <c r="V24" s="134"/>
    </row>
    <row r="25" spans="2:22" ht="13.95" customHeight="1">
      <c r="B25" s="132">
        <v>23</v>
      </c>
      <c r="C25" s="112" t="s">
        <v>178</v>
      </c>
      <c r="D25" s="113"/>
      <c r="E25" s="113">
        <v>97</v>
      </c>
      <c r="F25" s="113">
        <v>24</v>
      </c>
      <c r="G25" s="113">
        <v>20</v>
      </c>
      <c r="H25" s="114">
        <f t="shared" si="0"/>
        <v>141</v>
      </c>
      <c r="I25" s="180" t="s">
        <v>172</v>
      </c>
      <c r="J25" s="180" t="s">
        <v>143</v>
      </c>
      <c r="K25" s="122" t="s">
        <v>153</v>
      </c>
      <c r="L25" s="116">
        <f t="shared" si="1"/>
        <v>45874</v>
      </c>
      <c r="M25" s="180" t="s">
        <v>173</v>
      </c>
      <c r="N25" s="116">
        <f t="shared" si="2"/>
        <v>45879</v>
      </c>
      <c r="O25" s="116"/>
      <c r="P25" s="116">
        <f t="shared" si="3"/>
        <v>45884</v>
      </c>
      <c r="Q25" s="117"/>
      <c r="R25" s="115">
        <v>16</v>
      </c>
      <c r="S25" s="116">
        <v>45996</v>
      </c>
      <c r="T25" s="116"/>
      <c r="U25" s="120"/>
      <c r="V25" s="134"/>
    </row>
    <row r="26" spans="2:22" ht="13.95" customHeight="1">
      <c r="B26" s="132">
        <v>24</v>
      </c>
      <c r="C26" s="112" t="s">
        <v>179</v>
      </c>
      <c r="D26" s="113"/>
      <c r="E26" s="113">
        <v>3</v>
      </c>
      <c r="F26" s="113">
        <v>3</v>
      </c>
      <c r="G26" s="113">
        <v>8</v>
      </c>
      <c r="H26" s="114">
        <f t="shared" si="0"/>
        <v>14</v>
      </c>
      <c r="I26" s="180" t="s">
        <v>172</v>
      </c>
      <c r="J26" s="180" t="s">
        <v>143</v>
      </c>
      <c r="K26" s="122" t="s">
        <v>153</v>
      </c>
      <c r="L26" s="116">
        <f t="shared" si="1"/>
        <v>45930</v>
      </c>
      <c r="M26" s="180" t="s">
        <v>173</v>
      </c>
      <c r="N26" s="116">
        <f t="shared" si="2"/>
        <v>45935</v>
      </c>
      <c r="O26" s="116"/>
      <c r="P26" s="116">
        <f t="shared" si="3"/>
        <v>45940</v>
      </c>
      <c r="Q26" s="117"/>
      <c r="R26" s="115">
        <v>16</v>
      </c>
      <c r="S26" s="116">
        <v>46052</v>
      </c>
      <c r="T26" s="116"/>
      <c r="U26" s="120"/>
      <c r="V26" s="134"/>
    </row>
    <row r="27" spans="2:22" ht="13.95" customHeight="1">
      <c r="B27" s="132">
        <v>25</v>
      </c>
      <c r="C27" s="112" t="s">
        <v>180</v>
      </c>
      <c r="D27" s="113"/>
      <c r="E27" s="113">
        <v>5</v>
      </c>
      <c r="F27" s="113">
        <v>2</v>
      </c>
      <c r="G27" s="113">
        <v>1</v>
      </c>
      <c r="H27" s="114">
        <f t="shared" si="0"/>
        <v>8</v>
      </c>
      <c r="I27" s="180" t="s">
        <v>172</v>
      </c>
      <c r="J27" s="180" t="s">
        <v>143</v>
      </c>
      <c r="K27" s="122" t="s">
        <v>153</v>
      </c>
      <c r="L27" s="116">
        <f t="shared" si="1"/>
        <v>45930</v>
      </c>
      <c r="M27" s="180" t="s">
        <v>173</v>
      </c>
      <c r="N27" s="116">
        <f t="shared" si="2"/>
        <v>45935</v>
      </c>
      <c r="O27" s="116"/>
      <c r="P27" s="116">
        <f t="shared" si="3"/>
        <v>45940</v>
      </c>
      <c r="Q27" s="117"/>
      <c r="R27" s="115">
        <v>16</v>
      </c>
      <c r="S27" s="116">
        <v>46052</v>
      </c>
      <c r="T27" s="116"/>
      <c r="U27" s="120"/>
      <c r="V27" s="134"/>
    </row>
    <row r="28" spans="2:22" ht="13.95" customHeight="1">
      <c r="B28" s="132">
        <v>26</v>
      </c>
      <c r="C28" s="112" t="s">
        <v>181</v>
      </c>
      <c r="D28" s="113"/>
      <c r="E28" s="113">
        <v>31</v>
      </c>
      <c r="F28" s="113">
        <v>10</v>
      </c>
      <c r="G28" s="113">
        <v>11</v>
      </c>
      <c r="H28" s="114">
        <f t="shared" si="0"/>
        <v>52</v>
      </c>
      <c r="I28" s="180" t="s">
        <v>172</v>
      </c>
      <c r="J28" s="180" t="s">
        <v>143</v>
      </c>
      <c r="K28" s="122" t="s">
        <v>153</v>
      </c>
      <c r="L28" s="116">
        <f t="shared" si="1"/>
        <v>45930</v>
      </c>
      <c r="M28" s="180" t="s">
        <v>173</v>
      </c>
      <c r="N28" s="116">
        <f t="shared" si="2"/>
        <v>45935</v>
      </c>
      <c r="O28" s="116"/>
      <c r="P28" s="116">
        <f t="shared" si="3"/>
        <v>45940</v>
      </c>
      <c r="Q28" s="117"/>
      <c r="R28" s="115">
        <v>16</v>
      </c>
      <c r="S28" s="116">
        <v>46052</v>
      </c>
      <c r="T28" s="116"/>
      <c r="U28" s="120"/>
      <c r="V28" s="134"/>
    </row>
    <row r="29" spans="2:22" ht="13.95" customHeight="1">
      <c r="B29" s="132">
        <v>27</v>
      </c>
      <c r="C29" s="112" t="s">
        <v>182</v>
      </c>
      <c r="D29" s="113"/>
      <c r="E29" s="113">
        <v>10</v>
      </c>
      <c r="F29" s="113">
        <v>4</v>
      </c>
      <c r="G29" s="113">
        <v>4</v>
      </c>
      <c r="H29" s="114">
        <f t="shared" si="0"/>
        <v>18</v>
      </c>
      <c r="I29" s="180" t="s">
        <v>172</v>
      </c>
      <c r="J29" s="180" t="s">
        <v>143</v>
      </c>
      <c r="K29" s="122" t="s">
        <v>153</v>
      </c>
      <c r="L29" s="116">
        <f t="shared" si="1"/>
        <v>45930</v>
      </c>
      <c r="M29" s="180" t="s">
        <v>173</v>
      </c>
      <c r="N29" s="116">
        <f t="shared" si="2"/>
        <v>45935</v>
      </c>
      <c r="O29" s="116"/>
      <c r="P29" s="116">
        <f t="shared" si="3"/>
        <v>45940</v>
      </c>
      <c r="Q29" s="117"/>
      <c r="R29" s="115">
        <v>16</v>
      </c>
      <c r="S29" s="116">
        <v>46052</v>
      </c>
      <c r="T29" s="116"/>
      <c r="U29" s="120"/>
      <c r="V29" s="134"/>
    </row>
    <row r="30" spans="2:22" ht="21" customHeight="1">
      <c r="B30" s="132">
        <v>28</v>
      </c>
      <c r="C30" s="112" t="s">
        <v>183</v>
      </c>
      <c r="D30" s="113"/>
      <c r="E30" s="113">
        <v>1</v>
      </c>
      <c r="F30" s="113">
        <v>1</v>
      </c>
      <c r="G30" s="113">
        <v>0</v>
      </c>
      <c r="H30" s="114">
        <f t="shared" si="0"/>
        <v>2</v>
      </c>
      <c r="I30" s="115" t="s">
        <v>184</v>
      </c>
      <c r="J30" s="180" t="s">
        <v>150</v>
      </c>
      <c r="K30" s="284" t="s">
        <v>158</v>
      </c>
      <c r="L30" s="116">
        <f t="shared" si="1"/>
        <v>45958</v>
      </c>
      <c r="M30" s="115"/>
      <c r="N30" s="116">
        <f t="shared" si="2"/>
        <v>45963</v>
      </c>
      <c r="O30" s="116"/>
      <c r="P30" s="116">
        <f t="shared" si="3"/>
        <v>45968</v>
      </c>
      <c r="Q30" s="117"/>
      <c r="R30" s="115">
        <v>12</v>
      </c>
      <c r="S30" s="116">
        <v>46052</v>
      </c>
      <c r="T30" s="116"/>
      <c r="U30" s="120"/>
      <c r="V30" s="134"/>
    </row>
    <row r="31" spans="2:22" ht="14.4" customHeight="1">
      <c r="B31" s="132">
        <v>29</v>
      </c>
      <c r="C31" s="176" t="s">
        <v>185</v>
      </c>
      <c r="D31" s="113"/>
      <c r="E31" s="113">
        <v>32</v>
      </c>
      <c r="F31" s="113">
        <v>24</v>
      </c>
      <c r="G31" s="113">
        <v>12</v>
      </c>
      <c r="H31" s="114">
        <f t="shared" si="0"/>
        <v>68</v>
      </c>
      <c r="I31" s="115" t="s">
        <v>186</v>
      </c>
      <c r="J31" s="180" t="s">
        <v>150</v>
      </c>
      <c r="K31" s="122" t="s">
        <v>153</v>
      </c>
      <c r="L31" s="116">
        <f t="shared" si="1"/>
        <v>45940</v>
      </c>
      <c r="M31" s="115"/>
      <c r="N31" s="116">
        <f t="shared" si="2"/>
        <v>45945</v>
      </c>
      <c r="O31" s="116"/>
      <c r="P31" s="116">
        <f t="shared" si="3"/>
        <v>45950</v>
      </c>
      <c r="Q31" s="117"/>
      <c r="R31" s="115">
        <v>8</v>
      </c>
      <c r="S31" s="116">
        <v>46006</v>
      </c>
      <c r="T31" s="116"/>
      <c r="U31" s="120"/>
      <c r="V31" s="133"/>
    </row>
    <row r="32" spans="2:22" ht="14.4" customHeight="1">
      <c r="B32" s="132">
        <v>30</v>
      </c>
      <c r="C32" s="112" t="s">
        <v>187</v>
      </c>
      <c r="D32" s="113"/>
      <c r="E32" s="113">
        <v>22</v>
      </c>
      <c r="F32" s="113">
        <v>10</v>
      </c>
      <c r="G32" s="113">
        <v>9</v>
      </c>
      <c r="H32" s="114">
        <f t="shared" si="0"/>
        <v>41</v>
      </c>
      <c r="I32" s="115" t="s">
        <v>188</v>
      </c>
      <c r="J32" s="115" t="s">
        <v>150</v>
      </c>
      <c r="K32" s="122" t="s">
        <v>153</v>
      </c>
      <c r="L32" s="116">
        <f t="shared" si="1"/>
        <v>45917</v>
      </c>
      <c r="M32" s="115"/>
      <c r="N32" s="116">
        <f t="shared" si="2"/>
        <v>45922</v>
      </c>
      <c r="O32" s="116"/>
      <c r="P32" s="116">
        <f t="shared" si="3"/>
        <v>45927</v>
      </c>
      <c r="Q32" s="117"/>
      <c r="R32" s="115">
        <v>12</v>
      </c>
      <c r="S32" s="116">
        <v>46011</v>
      </c>
      <c r="T32" s="116"/>
      <c r="U32" s="120"/>
      <c r="V32" s="133"/>
    </row>
    <row r="33" spans="2:22" ht="14.4" customHeight="1">
      <c r="B33" s="132">
        <v>31</v>
      </c>
      <c r="C33" s="112" t="s">
        <v>189</v>
      </c>
      <c r="D33" s="113"/>
      <c r="E33" s="113">
        <v>4</v>
      </c>
      <c r="F33" s="113">
        <v>22</v>
      </c>
      <c r="G33" s="113">
        <v>0</v>
      </c>
      <c r="H33" s="114">
        <f t="shared" si="0"/>
        <v>26</v>
      </c>
      <c r="I33" s="115" t="s">
        <v>188</v>
      </c>
      <c r="J33" s="180" t="s">
        <v>150</v>
      </c>
      <c r="K33" s="122" t="s">
        <v>153</v>
      </c>
      <c r="L33" s="116">
        <f t="shared" si="1"/>
        <v>45917</v>
      </c>
      <c r="M33" s="115"/>
      <c r="N33" s="116">
        <f t="shared" si="2"/>
        <v>45922</v>
      </c>
      <c r="O33" s="116"/>
      <c r="P33" s="116">
        <f t="shared" si="3"/>
        <v>45927</v>
      </c>
      <c r="Q33" s="117"/>
      <c r="R33" s="115">
        <v>12</v>
      </c>
      <c r="S33" s="116">
        <v>46011</v>
      </c>
      <c r="T33" s="116"/>
      <c r="U33" s="120"/>
      <c r="V33" s="133"/>
    </row>
    <row r="34" spans="2:22" ht="14.4" customHeight="1">
      <c r="B34" s="132">
        <v>32</v>
      </c>
      <c r="C34" s="112" t="s">
        <v>190</v>
      </c>
      <c r="D34" s="113"/>
      <c r="E34" s="113">
        <v>418</v>
      </c>
      <c r="F34" s="113">
        <v>290</v>
      </c>
      <c r="G34" s="113">
        <v>152</v>
      </c>
      <c r="H34" s="114">
        <f t="shared" si="0"/>
        <v>860</v>
      </c>
      <c r="I34" s="122" t="s">
        <v>191</v>
      </c>
      <c r="J34" s="115" t="s">
        <v>150</v>
      </c>
      <c r="K34" s="122" t="s">
        <v>153</v>
      </c>
      <c r="L34" s="116">
        <f t="shared" si="1"/>
        <v>45930</v>
      </c>
      <c r="M34" s="115"/>
      <c r="N34" s="116">
        <f t="shared" si="2"/>
        <v>45935</v>
      </c>
      <c r="O34" s="116"/>
      <c r="P34" s="116">
        <f t="shared" si="3"/>
        <v>45940</v>
      </c>
      <c r="Q34" s="117"/>
      <c r="R34" s="115">
        <v>8</v>
      </c>
      <c r="S34" s="116">
        <v>45996</v>
      </c>
      <c r="T34" s="116"/>
      <c r="U34" s="120"/>
      <c r="V34" s="133"/>
    </row>
    <row r="35" spans="2:22" ht="14.4" customHeight="1">
      <c r="B35" s="132">
        <v>34</v>
      </c>
      <c r="C35" s="182" t="s">
        <v>192</v>
      </c>
      <c r="D35" s="113"/>
      <c r="E35" s="113">
        <v>75</v>
      </c>
      <c r="F35" s="113">
        <v>44</v>
      </c>
      <c r="G35" s="113">
        <v>28</v>
      </c>
      <c r="H35" s="114">
        <f t="shared" si="0"/>
        <v>147</v>
      </c>
      <c r="I35" s="115" t="s">
        <v>186</v>
      </c>
      <c r="J35" s="115" t="s">
        <v>150</v>
      </c>
      <c r="K35" s="122" t="s">
        <v>153</v>
      </c>
      <c r="L35" s="116">
        <f t="shared" si="1"/>
        <v>45930</v>
      </c>
      <c r="M35" s="115"/>
      <c r="N35" s="116">
        <f t="shared" si="2"/>
        <v>45935</v>
      </c>
      <c r="O35" s="116"/>
      <c r="P35" s="116">
        <f t="shared" si="3"/>
        <v>45940</v>
      </c>
      <c r="Q35" s="127"/>
      <c r="R35" s="115">
        <v>8</v>
      </c>
      <c r="S35" s="116">
        <v>45996</v>
      </c>
      <c r="T35" s="116"/>
      <c r="U35" s="120"/>
      <c r="V35" s="133"/>
    </row>
    <row r="36" spans="2:22" ht="14.4" customHeight="1">
      <c r="B36" s="132">
        <v>35</v>
      </c>
      <c r="C36" s="182" t="s">
        <v>193</v>
      </c>
      <c r="D36" s="113"/>
      <c r="E36" s="113">
        <v>36</v>
      </c>
      <c r="F36" s="113">
        <v>10</v>
      </c>
      <c r="G36" s="113">
        <v>8</v>
      </c>
      <c r="H36" s="114">
        <f t="shared" si="0"/>
        <v>54</v>
      </c>
      <c r="I36" s="115" t="s">
        <v>194</v>
      </c>
      <c r="J36" s="115" t="s">
        <v>195</v>
      </c>
      <c r="K36" s="122" t="s">
        <v>153</v>
      </c>
      <c r="L36" s="116">
        <f t="shared" si="1"/>
        <v>45930</v>
      </c>
      <c r="M36" s="115"/>
      <c r="N36" s="116">
        <f t="shared" si="2"/>
        <v>45935</v>
      </c>
      <c r="O36" s="116"/>
      <c r="P36" s="116">
        <f t="shared" si="3"/>
        <v>45940</v>
      </c>
      <c r="Q36" s="117"/>
      <c r="R36" s="115">
        <v>16</v>
      </c>
      <c r="S36" s="116">
        <v>46052</v>
      </c>
      <c r="T36" s="116"/>
      <c r="U36" s="120"/>
      <c r="V36" s="133"/>
    </row>
    <row r="37" spans="2:22" ht="14.4" customHeight="1">
      <c r="B37" s="132">
        <v>36</v>
      </c>
      <c r="C37" s="112" t="s">
        <v>196</v>
      </c>
      <c r="D37" s="113"/>
      <c r="E37" s="113"/>
      <c r="F37" s="113"/>
      <c r="G37" s="113"/>
      <c r="H37" s="114">
        <f t="shared" si="0"/>
        <v>0</v>
      </c>
      <c r="I37" s="115" t="s">
        <v>197</v>
      </c>
      <c r="J37" s="123" t="s">
        <v>150</v>
      </c>
      <c r="K37" s="284" t="s">
        <v>298</v>
      </c>
      <c r="L37" s="116">
        <f t="shared" si="1"/>
        <v>45881</v>
      </c>
      <c r="M37" s="115"/>
      <c r="N37" s="116">
        <f t="shared" si="2"/>
        <v>45886</v>
      </c>
      <c r="O37" s="116"/>
      <c r="P37" s="116">
        <f t="shared" si="3"/>
        <v>45891</v>
      </c>
      <c r="Q37" s="116"/>
      <c r="R37" s="115">
        <v>15</v>
      </c>
      <c r="S37" s="116">
        <v>45996</v>
      </c>
      <c r="T37" s="116"/>
      <c r="U37" s="120"/>
      <c r="V37" s="133"/>
    </row>
    <row r="38" spans="2:22" ht="14.4" customHeight="1">
      <c r="B38" s="132">
        <v>37</v>
      </c>
      <c r="C38" s="112" t="s">
        <v>198</v>
      </c>
      <c r="D38" s="113"/>
      <c r="E38" s="113"/>
      <c r="F38" s="113"/>
      <c r="G38" s="113"/>
      <c r="H38" s="114">
        <f t="shared" si="0"/>
        <v>0</v>
      </c>
      <c r="I38" s="115" t="s">
        <v>199</v>
      </c>
      <c r="J38" s="123" t="s">
        <v>150</v>
      </c>
      <c r="K38" s="122" t="s">
        <v>144</v>
      </c>
      <c r="L38" s="116">
        <f t="shared" si="1"/>
        <v>45874</v>
      </c>
      <c r="M38" s="115"/>
      <c r="N38" s="116">
        <f t="shared" si="2"/>
        <v>45879</v>
      </c>
      <c r="O38" s="116"/>
      <c r="P38" s="116">
        <f t="shared" si="3"/>
        <v>45884</v>
      </c>
      <c r="Q38" s="116"/>
      <c r="R38" s="115">
        <v>16</v>
      </c>
      <c r="S38" s="116">
        <v>45996</v>
      </c>
      <c r="T38" s="116"/>
      <c r="U38" s="120"/>
      <c r="V38" s="133"/>
    </row>
    <row r="39" spans="2:22" ht="14.4" customHeight="1">
      <c r="B39" s="132">
        <v>38</v>
      </c>
      <c r="C39" s="112" t="s">
        <v>200</v>
      </c>
      <c r="D39" s="113"/>
      <c r="E39" s="113"/>
      <c r="F39" s="113"/>
      <c r="G39" s="113"/>
      <c r="H39" s="114">
        <f t="shared" si="0"/>
        <v>0</v>
      </c>
      <c r="I39" s="115" t="s">
        <v>201</v>
      </c>
      <c r="J39" s="115" t="s">
        <v>150</v>
      </c>
      <c r="K39" s="122" t="s">
        <v>144</v>
      </c>
      <c r="L39" s="116">
        <f t="shared" si="1"/>
        <v>45874</v>
      </c>
      <c r="M39" s="115"/>
      <c r="N39" s="116">
        <f t="shared" si="2"/>
        <v>45879</v>
      </c>
      <c r="O39" s="116"/>
      <c r="P39" s="116">
        <f t="shared" si="3"/>
        <v>45884</v>
      </c>
      <c r="Q39" s="116"/>
      <c r="R39" s="115">
        <v>16</v>
      </c>
      <c r="S39" s="116">
        <v>45996</v>
      </c>
      <c r="T39" s="116"/>
      <c r="U39" s="116"/>
      <c r="V39" s="133"/>
    </row>
    <row r="40" spans="2:22" ht="14.4" customHeight="1">
      <c r="B40" s="132">
        <v>39</v>
      </c>
      <c r="C40" s="112" t="s">
        <v>202</v>
      </c>
      <c r="D40" s="113"/>
      <c r="E40" s="113"/>
      <c r="F40" s="113"/>
      <c r="G40" s="113"/>
      <c r="H40" s="114">
        <f t="shared" si="0"/>
        <v>0</v>
      </c>
      <c r="I40" s="115" t="s">
        <v>203</v>
      </c>
      <c r="J40" s="115" t="s">
        <v>150</v>
      </c>
      <c r="K40" s="122" t="s">
        <v>144</v>
      </c>
      <c r="L40" s="116">
        <f t="shared" si="1"/>
        <v>45874</v>
      </c>
      <c r="M40" s="115"/>
      <c r="N40" s="116">
        <f t="shared" si="2"/>
        <v>45879</v>
      </c>
      <c r="O40" s="116"/>
      <c r="P40" s="116">
        <f t="shared" si="3"/>
        <v>45884</v>
      </c>
      <c r="Q40" s="116"/>
      <c r="R40" s="115">
        <v>16</v>
      </c>
      <c r="S40" s="116">
        <v>45996</v>
      </c>
      <c r="T40" s="116"/>
      <c r="U40" s="116"/>
      <c r="V40" s="133"/>
    </row>
    <row r="41" spans="2:22" ht="14.4" customHeight="1">
      <c r="B41" s="132">
        <v>40</v>
      </c>
      <c r="C41" s="112" t="s">
        <v>204</v>
      </c>
      <c r="D41" s="113"/>
      <c r="E41" s="113"/>
      <c r="F41" s="113"/>
      <c r="G41" s="113"/>
      <c r="H41" s="114">
        <f t="shared" si="0"/>
        <v>0</v>
      </c>
      <c r="I41" s="115" t="s">
        <v>205</v>
      </c>
      <c r="J41" s="115" t="s">
        <v>150</v>
      </c>
      <c r="K41" s="284" t="s">
        <v>158</v>
      </c>
      <c r="L41" s="116">
        <f t="shared" si="1"/>
        <v>45944</v>
      </c>
      <c r="M41" s="115"/>
      <c r="N41" s="116">
        <f t="shared" si="2"/>
        <v>45949</v>
      </c>
      <c r="O41" s="116"/>
      <c r="P41" s="116">
        <f t="shared" si="3"/>
        <v>45954</v>
      </c>
      <c r="Q41" s="116"/>
      <c r="R41" s="115">
        <v>6</v>
      </c>
      <c r="S41" s="116">
        <v>45996</v>
      </c>
      <c r="T41" s="116"/>
      <c r="U41" s="116"/>
      <c r="V41" s="133"/>
    </row>
    <row r="42" spans="2:22" ht="14.4" customHeight="1">
      <c r="B42" s="132">
        <v>41</v>
      </c>
      <c r="C42" s="112" t="s">
        <v>206</v>
      </c>
      <c r="D42" s="113"/>
      <c r="E42" s="113"/>
      <c r="F42" s="113"/>
      <c r="G42" s="113"/>
      <c r="H42" s="114">
        <f t="shared" si="0"/>
        <v>0</v>
      </c>
      <c r="I42" s="115" t="s">
        <v>207</v>
      </c>
      <c r="J42" s="115" t="s">
        <v>150</v>
      </c>
      <c r="K42" s="284" t="s">
        <v>158</v>
      </c>
      <c r="L42" s="116">
        <f t="shared" si="1"/>
        <v>45931</v>
      </c>
      <c r="M42" s="115"/>
      <c r="N42" s="116">
        <f t="shared" si="2"/>
        <v>45936</v>
      </c>
      <c r="O42" s="116"/>
      <c r="P42" s="116">
        <f t="shared" si="3"/>
        <v>45941</v>
      </c>
      <c r="Q42" s="116"/>
      <c r="R42" s="115">
        <v>8</v>
      </c>
      <c r="S42" s="116">
        <v>45997</v>
      </c>
      <c r="T42" s="116"/>
      <c r="U42" s="116"/>
      <c r="V42" s="133"/>
    </row>
    <row r="43" spans="2:22" ht="14.4" customHeight="1">
      <c r="B43" s="132">
        <v>42</v>
      </c>
      <c r="C43" s="112" t="s">
        <v>208</v>
      </c>
      <c r="D43" s="113"/>
      <c r="E43" s="113"/>
      <c r="F43" s="113"/>
      <c r="G43" s="113"/>
      <c r="H43" s="114">
        <f t="shared" si="0"/>
        <v>0</v>
      </c>
      <c r="I43" s="115" t="s">
        <v>209</v>
      </c>
      <c r="J43" s="115" t="s">
        <v>150</v>
      </c>
      <c r="K43" s="178" t="s">
        <v>153</v>
      </c>
      <c r="L43" s="116">
        <f t="shared" si="1"/>
        <v>45954</v>
      </c>
      <c r="M43" s="115"/>
      <c r="N43" s="116">
        <f t="shared" si="2"/>
        <v>45959</v>
      </c>
      <c r="O43" s="116"/>
      <c r="P43" s="116">
        <f t="shared" si="3"/>
        <v>45964</v>
      </c>
      <c r="Q43" s="116"/>
      <c r="R43" s="115">
        <v>6</v>
      </c>
      <c r="S43" s="116">
        <v>46006</v>
      </c>
      <c r="T43" s="116"/>
      <c r="U43" s="116"/>
      <c r="V43" s="133"/>
    </row>
    <row r="44" spans="2:22" ht="14.4" customHeight="1">
      <c r="B44" s="132">
        <v>43</v>
      </c>
      <c r="C44" s="112" t="s">
        <v>210</v>
      </c>
      <c r="D44" s="113"/>
      <c r="E44" s="113"/>
      <c r="F44" s="113"/>
      <c r="G44" s="113"/>
      <c r="H44" s="114">
        <f t="shared" si="0"/>
        <v>0</v>
      </c>
      <c r="I44" s="115" t="s">
        <v>211</v>
      </c>
      <c r="J44" s="115" t="s">
        <v>150</v>
      </c>
      <c r="K44" s="284" t="s">
        <v>158</v>
      </c>
      <c r="L44" s="116">
        <f t="shared" si="1"/>
        <v>45954</v>
      </c>
      <c r="M44" s="115"/>
      <c r="N44" s="116">
        <f t="shared" si="2"/>
        <v>45959</v>
      </c>
      <c r="O44" s="116"/>
      <c r="P44" s="116">
        <f t="shared" si="3"/>
        <v>45964</v>
      </c>
      <c r="Q44" s="116"/>
      <c r="R44" s="115">
        <v>6</v>
      </c>
      <c r="S44" s="116">
        <v>46006</v>
      </c>
      <c r="T44" s="116"/>
      <c r="U44" s="116"/>
      <c r="V44" s="133"/>
    </row>
    <row r="45" spans="2:22" ht="14.4" customHeight="1">
      <c r="B45" s="132">
        <v>45</v>
      </c>
      <c r="C45" s="112" t="s">
        <v>212</v>
      </c>
      <c r="D45" s="113"/>
      <c r="E45" s="113">
        <v>19</v>
      </c>
      <c r="F45" s="113">
        <v>15</v>
      </c>
      <c r="G45" s="113">
        <v>2</v>
      </c>
      <c r="H45" s="114">
        <f t="shared" si="0"/>
        <v>36</v>
      </c>
      <c r="I45" s="115" t="s">
        <v>213</v>
      </c>
      <c r="J45" s="180" t="s">
        <v>214</v>
      </c>
      <c r="K45" s="284" t="s">
        <v>238</v>
      </c>
      <c r="L45" s="116">
        <f t="shared" si="1"/>
        <v>45930</v>
      </c>
      <c r="M45" s="115"/>
      <c r="N45" s="116">
        <f t="shared" si="2"/>
        <v>45935</v>
      </c>
      <c r="O45" s="116"/>
      <c r="P45" s="116">
        <f t="shared" si="3"/>
        <v>45940</v>
      </c>
      <c r="Q45" s="116"/>
      <c r="R45" s="115">
        <v>16</v>
      </c>
      <c r="S45" s="116">
        <v>46052</v>
      </c>
      <c r="T45" s="116"/>
      <c r="U45" s="120"/>
      <c r="V45" s="133"/>
    </row>
    <row r="46" spans="2:22" ht="14.4" customHeight="1">
      <c r="B46" s="132">
        <v>46</v>
      </c>
      <c r="C46" s="112" t="s">
        <v>215</v>
      </c>
      <c r="D46" s="113"/>
      <c r="E46" s="113">
        <v>43</v>
      </c>
      <c r="F46" s="113">
        <v>32</v>
      </c>
      <c r="G46" s="113">
        <v>4</v>
      </c>
      <c r="H46" s="114">
        <f t="shared" si="0"/>
        <v>79</v>
      </c>
      <c r="I46" s="115" t="s">
        <v>213</v>
      </c>
      <c r="J46" s="115" t="s">
        <v>214</v>
      </c>
      <c r="K46" s="284" t="s">
        <v>238</v>
      </c>
      <c r="L46" s="116">
        <f t="shared" si="1"/>
        <v>45930</v>
      </c>
      <c r="M46" s="115"/>
      <c r="N46" s="116">
        <f t="shared" si="2"/>
        <v>45935</v>
      </c>
      <c r="O46" s="116"/>
      <c r="P46" s="116">
        <f t="shared" si="3"/>
        <v>45940</v>
      </c>
      <c r="Q46" s="116"/>
      <c r="R46" s="115">
        <v>16</v>
      </c>
      <c r="S46" s="116">
        <v>46052</v>
      </c>
      <c r="T46" s="116"/>
      <c r="U46" s="120"/>
      <c r="V46" s="133"/>
    </row>
    <row r="47" spans="2:22" ht="14.4" customHeight="1">
      <c r="B47" s="132">
        <v>47</v>
      </c>
      <c r="C47" s="112" t="s">
        <v>216</v>
      </c>
      <c r="D47" s="113"/>
      <c r="E47" s="113">
        <v>37</v>
      </c>
      <c r="F47" s="113">
        <v>32</v>
      </c>
      <c r="G47" s="113">
        <v>9</v>
      </c>
      <c r="H47" s="114">
        <f t="shared" si="0"/>
        <v>78</v>
      </c>
      <c r="I47" s="115" t="s">
        <v>217</v>
      </c>
      <c r="J47" s="115" t="s">
        <v>214</v>
      </c>
      <c r="K47" s="122" t="s">
        <v>144</v>
      </c>
      <c r="L47" s="116">
        <f t="shared" si="1"/>
        <v>45930</v>
      </c>
      <c r="M47" s="115"/>
      <c r="N47" s="116">
        <f t="shared" si="2"/>
        <v>45935</v>
      </c>
      <c r="O47" s="116"/>
      <c r="P47" s="116">
        <f t="shared" si="3"/>
        <v>45940</v>
      </c>
      <c r="Q47" s="116"/>
      <c r="R47" s="115">
        <v>16</v>
      </c>
      <c r="S47" s="116">
        <v>46052</v>
      </c>
      <c r="T47" s="116"/>
      <c r="U47" s="120"/>
      <c r="V47" s="133"/>
    </row>
    <row r="48" spans="2:22" ht="14.4" customHeight="1">
      <c r="B48" s="132">
        <v>48</v>
      </c>
      <c r="C48" s="112" t="s">
        <v>218</v>
      </c>
      <c r="D48" s="113"/>
      <c r="E48" s="113">
        <v>37</v>
      </c>
      <c r="F48" s="113">
        <v>32</v>
      </c>
      <c r="G48" s="113">
        <v>9</v>
      </c>
      <c r="H48" s="114">
        <f t="shared" si="0"/>
        <v>78</v>
      </c>
      <c r="I48" s="115" t="s">
        <v>217</v>
      </c>
      <c r="J48" s="180" t="s">
        <v>214</v>
      </c>
      <c r="K48" s="122" t="s">
        <v>144</v>
      </c>
      <c r="L48" s="116">
        <f t="shared" si="1"/>
        <v>45930</v>
      </c>
      <c r="M48" s="115"/>
      <c r="N48" s="116">
        <f t="shared" si="2"/>
        <v>45935</v>
      </c>
      <c r="O48" s="116"/>
      <c r="P48" s="116">
        <f t="shared" si="3"/>
        <v>45940</v>
      </c>
      <c r="Q48" s="116"/>
      <c r="R48" s="115">
        <v>16</v>
      </c>
      <c r="S48" s="116">
        <v>46052</v>
      </c>
      <c r="T48" s="116"/>
      <c r="U48" s="120"/>
      <c r="V48" s="133"/>
    </row>
    <row r="49" spans="1:22" ht="14.4" customHeight="1">
      <c r="B49" s="132">
        <v>49</v>
      </c>
      <c r="C49" s="112" t="s">
        <v>219</v>
      </c>
      <c r="D49" s="113"/>
      <c r="E49" s="113">
        <v>3</v>
      </c>
      <c r="F49" s="113">
        <v>0</v>
      </c>
      <c r="G49" s="113">
        <v>1</v>
      </c>
      <c r="H49" s="114">
        <f t="shared" si="0"/>
        <v>4</v>
      </c>
      <c r="I49" s="115" t="s">
        <v>220</v>
      </c>
      <c r="J49" s="115" t="s">
        <v>150</v>
      </c>
      <c r="K49" s="122" t="s">
        <v>144</v>
      </c>
      <c r="L49" s="116">
        <f t="shared" si="1"/>
        <v>45930</v>
      </c>
      <c r="M49" s="180" t="s">
        <v>173</v>
      </c>
      <c r="N49" s="116">
        <f t="shared" si="2"/>
        <v>45935</v>
      </c>
      <c r="O49" s="116"/>
      <c r="P49" s="116">
        <f t="shared" si="3"/>
        <v>45940</v>
      </c>
      <c r="Q49" s="116"/>
      <c r="R49" s="115">
        <v>16</v>
      </c>
      <c r="S49" s="116">
        <v>46052</v>
      </c>
      <c r="T49" s="116"/>
      <c r="U49" s="120"/>
      <c r="V49" s="133"/>
    </row>
    <row r="50" spans="1:22" ht="14.4" customHeight="1">
      <c r="A50" s="183" t="s">
        <v>221</v>
      </c>
      <c r="B50" s="132">
        <v>50</v>
      </c>
      <c r="C50" s="112" t="s">
        <v>222</v>
      </c>
      <c r="D50" s="113"/>
      <c r="E50" s="113">
        <v>3</v>
      </c>
      <c r="F50" s="113">
        <v>0</v>
      </c>
      <c r="G50" s="113">
        <v>1</v>
      </c>
      <c r="H50" s="114">
        <f>SUM(E50:G50)</f>
        <v>4</v>
      </c>
      <c r="I50" s="115" t="s">
        <v>223</v>
      </c>
      <c r="J50" s="115" t="s">
        <v>150</v>
      </c>
      <c r="K50" s="284" t="s">
        <v>153</v>
      </c>
      <c r="L50" s="116">
        <f t="shared" si="1"/>
        <v>45930</v>
      </c>
      <c r="M50" s="115"/>
      <c r="N50" s="116">
        <f t="shared" si="2"/>
        <v>45935</v>
      </c>
      <c r="O50" s="116"/>
      <c r="P50" s="116">
        <f t="shared" si="3"/>
        <v>45940</v>
      </c>
      <c r="Q50" s="116"/>
      <c r="R50" s="115">
        <v>16</v>
      </c>
      <c r="S50" s="116">
        <v>46052</v>
      </c>
      <c r="T50" s="116"/>
      <c r="U50" s="120"/>
      <c r="V50" s="133"/>
    </row>
    <row r="51" spans="1:22" ht="14.4" customHeight="1">
      <c r="B51" s="132">
        <v>51</v>
      </c>
      <c r="C51" s="112" t="s">
        <v>224</v>
      </c>
      <c r="D51" s="113"/>
      <c r="E51" s="113">
        <v>0</v>
      </c>
      <c r="F51" s="113">
        <v>1</v>
      </c>
      <c r="G51" s="113">
        <v>0</v>
      </c>
      <c r="H51" s="114">
        <f>SUM(E51:G51)</f>
        <v>1</v>
      </c>
      <c r="I51" s="180" t="s">
        <v>225</v>
      </c>
      <c r="J51" s="115" t="s">
        <v>150</v>
      </c>
      <c r="K51" s="122" t="s">
        <v>144</v>
      </c>
      <c r="L51" s="116">
        <f t="shared" si="1"/>
        <v>45902</v>
      </c>
      <c r="M51" s="115"/>
      <c r="N51" s="116">
        <f t="shared" si="2"/>
        <v>45907</v>
      </c>
      <c r="O51" s="116"/>
      <c r="P51" s="116">
        <f t="shared" si="3"/>
        <v>45912</v>
      </c>
      <c r="Q51" s="116"/>
      <c r="R51" s="115">
        <v>20</v>
      </c>
      <c r="S51" s="116">
        <v>46052</v>
      </c>
      <c r="T51" s="116"/>
      <c r="U51" s="120"/>
      <c r="V51" s="133"/>
    </row>
    <row r="52" spans="1:22" ht="14.4" customHeight="1">
      <c r="B52" s="132">
        <v>52</v>
      </c>
      <c r="C52" s="182" t="s">
        <v>226</v>
      </c>
      <c r="D52" s="113"/>
      <c r="E52" s="113">
        <v>0</v>
      </c>
      <c r="F52" s="113">
        <v>2</v>
      </c>
      <c r="G52" s="113">
        <v>0</v>
      </c>
      <c r="H52" s="114">
        <f>SUM(E52:G52)</f>
        <v>2</v>
      </c>
      <c r="I52" s="180" t="s">
        <v>227</v>
      </c>
      <c r="J52" s="180" t="s">
        <v>214</v>
      </c>
      <c r="K52" s="122" t="s">
        <v>144</v>
      </c>
      <c r="L52" s="116">
        <f t="shared" si="1"/>
        <v>45930</v>
      </c>
      <c r="M52" s="115"/>
      <c r="N52" s="116">
        <f t="shared" si="2"/>
        <v>45935</v>
      </c>
      <c r="O52" s="116"/>
      <c r="P52" s="116">
        <f t="shared" si="3"/>
        <v>45940</v>
      </c>
      <c r="Q52" s="116"/>
      <c r="R52" s="115">
        <v>16</v>
      </c>
      <c r="S52" s="116">
        <v>46052</v>
      </c>
      <c r="T52" s="116"/>
      <c r="U52" s="120"/>
      <c r="V52" s="133"/>
    </row>
    <row r="53" spans="1:22" ht="14.4" customHeight="1">
      <c r="B53" s="132">
        <v>53</v>
      </c>
      <c r="C53" s="112" t="s">
        <v>228</v>
      </c>
      <c r="D53" s="113"/>
      <c r="E53" s="113">
        <v>470</v>
      </c>
      <c r="F53" s="113">
        <v>300</v>
      </c>
      <c r="G53" s="113">
        <v>155</v>
      </c>
      <c r="H53" s="114">
        <f t="shared" si="0"/>
        <v>925</v>
      </c>
      <c r="I53" s="184" t="s">
        <v>229</v>
      </c>
      <c r="J53" s="115" t="s">
        <v>195</v>
      </c>
      <c r="K53" s="122" t="s">
        <v>153</v>
      </c>
      <c r="L53" s="116">
        <f t="shared" si="1"/>
        <v>45930</v>
      </c>
      <c r="M53" s="115"/>
      <c r="N53" s="116">
        <f t="shared" si="2"/>
        <v>45935</v>
      </c>
      <c r="O53" s="116"/>
      <c r="P53" s="116">
        <f t="shared" si="3"/>
        <v>45940</v>
      </c>
      <c r="Q53" s="116"/>
      <c r="R53" s="115">
        <v>16</v>
      </c>
      <c r="S53" s="116">
        <v>46052</v>
      </c>
      <c r="T53" s="116"/>
      <c r="U53" s="120"/>
      <c r="V53" s="133"/>
    </row>
    <row r="54" spans="1:22" ht="14.4" customHeight="1">
      <c r="B54" s="132">
        <v>54</v>
      </c>
      <c r="C54" s="112" t="s">
        <v>230</v>
      </c>
      <c r="D54" s="113"/>
      <c r="E54" s="113">
        <v>31</v>
      </c>
      <c r="F54" s="113">
        <v>10</v>
      </c>
      <c r="G54" s="113">
        <v>11</v>
      </c>
      <c r="H54" s="114">
        <f t="shared" si="0"/>
        <v>52</v>
      </c>
      <c r="I54" s="115" t="s">
        <v>231</v>
      </c>
      <c r="J54" s="115" t="s">
        <v>195</v>
      </c>
      <c r="K54" s="284" t="s">
        <v>153</v>
      </c>
      <c r="L54" s="116">
        <f t="shared" si="1"/>
        <v>45930</v>
      </c>
      <c r="M54" s="115"/>
      <c r="N54" s="116">
        <f t="shared" si="2"/>
        <v>45935</v>
      </c>
      <c r="O54" s="116"/>
      <c r="P54" s="116">
        <f t="shared" si="3"/>
        <v>45940</v>
      </c>
      <c r="Q54" s="116"/>
      <c r="R54" s="115">
        <v>16</v>
      </c>
      <c r="S54" s="116">
        <v>46052</v>
      </c>
      <c r="T54" s="116"/>
      <c r="U54" s="120"/>
      <c r="V54" s="133"/>
    </row>
    <row r="55" spans="1:22" ht="14.4" customHeight="1">
      <c r="B55" s="132">
        <v>55</v>
      </c>
      <c r="C55" s="112" t="s">
        <v>232</v>
      </c>
      <c r="D55" s="113"/>
      <c r="E55" s="113"/>
      <c r="F55" s="113"/>
      <c r="G55" s="113"/>
      <c r="H55" s="114"/>
      <c r="I55" s="115" t="s">
        <v>233</v>
      </c>
      <c r="J55" s="115" t="s">
        <v>150</v>
      </c>
      <c r="K55" s="284" t="s">
        <v>298</v>
      </c>
      <c r="L55" s="116">
        <f t="shared" si="1"/>
        <v>45947</v>
      </c>
      <c r="M55" s="115"/>
      <c r="N55" s="116">
        <f t="shared" si="2"/>
        <v>45952</v>
      </c>
      <c r="O55" s="116"/>
      <c r="P55" s="116">
        <f t="shared" si="3"/>
        <v>45957</v>
      </c>
      <c r="Q55" s="116"/>
      <c r="R55" s="115">
        <v>5</v>
      </c>
      <c r="S55" s="116">
        <v>45992</v>
      </c>
      <c r="T55" s="116"/>
      <c r="U55" s="120"/>
      <c r="V55" s="133"/>
    </row>
    <row r="56" spans="1:22" ht="14.4" customHeight="1">
      <c r="B56" s="132">
        <v>56</v>
      </c>
      <c r="C56" s="112" t="s">
        <v>234</v>
      </c>
      <c r="D56" s="113"/>
      <c r="E56" s="113"/>
      <c r="F56" s="113"/>
      <c r="G56" s="113"/>
      <c r="H56" s="114">
        <f t="shared" si="0"/>
        <v>0</v>
      </c>
      <c r="I56" s="115" t="s">
        <v>235</v>
      </c>
      <c r="J56" s="115" t="s">
        <v>150</v>
      </c>
      <c r="K56" s="284" t="s">
        <v>153</v>
      </c>
      <c r="L56" s="116">
        <f t="shared" si="1"/>
        <v>45954</v>
      </c>
      <c r="M56" s="115"/>
      <c r="N56" s="116">
        <f t="shared" si="2"/>
        <v>45959</v>
      </c>
      <c r="O56" s="116"/>
      <c r="P56" s="116">
        <f t="shared" si="3"/>
        <v>45964</v>
      </c>
      <c r="Q56" s="116"/>
      <c r="R56" s="115">
        <v>4</v>
      </c>
      <c r="S56" s="126">
        <v>45992</v>
      </c>
      <c r="T56" s="116"/>
      <c r="U56" s="120"/>
      <c r="V56" s="133"/>
    </row>
    <row r="57" spans="1:22" ht="14.4" customHeight="1">
      <c r="B57" s="132">
        <v>57</v>
      </c>
      <c r="C57" s="112" t="s">
        <v>236</v>
      </c>
      <c r="D57" s="113"/>
      <c r="E57" s="113"/>
      <c r="F57" s="113"/>
      <c r="G57" s="113"/>
      <c r="H57" s="114">
        <f t="shared" si="0"/>
        <v>0</v>
      </c>
      <c r="I57" s="115" t="s">
        <v>237</v>
      </c>
      <c r="J57" s="115" t="s">
        <v>150</v>
      </c>
      <c r="K57" s="122" t="s">
        <v>238</v>
      </c>
      <c r="L57" s="116">
        <f t="shared" si="1"/>
        <v>45953</v>
      </c>
      <c r="M57" s="115"/>
      <c r="N57" s="116">
        <f t="shared" si="2"/>
        <v>45958</v>
      </c>
      <c r="O57" s="116"/>
      <c r="P57" s="116">
        <f t="shared" si="3"/>
        <v>45963</v>
      </c>
      <c r="Q57" s="127"/>
      <c r="R57" s="115">
        <v>4</v>
      </c>
      <c r="S57" s="116">
        <v>45991</v>
      </c>
      <c r="T57" s="116"/>
      <c r="U57" s="120"/>
      <c r="V57" s="133"/>
    </row>
    <row r="58" spans="1:22" ht="14.4" customHeight="1">
      <c r="B58" s="132">
        <v>58</v>
      </c>
      <c r="C58" s="112" t="s">
        <v>239</v>
      </c>
      <c r="D58" s="113"/>
      <c r="E58" s="113">
        <v>47</v>
      </c>
      <c r="F58" s="113">
        <v>17</v>
      </c>
      <c r="G58" s="113">
        <v>22</v>
      </c>
      <c r="H58" s="114">
        <f t="shared" si="0"/>
        <v>86</v>
      </c>
      <c r="I58" s="115" t="s">
        <v>240</v>
      </c>
      <c r="J58" s="115" t="s">
        <v>150</v>
      </c>
      <c r="K58" s="122" t="s">
        <v>168</v>
      </c>
      <c r="L58" s="116">
        <f t="shared" si="1"/>
        <v>45939</v>
      </c>
      <c r="M58" s="115"/>
      <c r="N58" s="116">
        <f t="shared" si="2"/>
        <v>45944</v>
      </c>
      <c r="O58" s="116"/>
      <c r="P58" s="116">
        <f t="shared" si="3"/>
        <v>45949</v>
      </c>
      <c r="Q58" s="128"/>
      <c r="R58" s="115">
        <v>6</v>
      </c>
      <c r="S58" s="116">
        <v>45991</v>
      </c>
      <c r="T58" s="116"/>
      <c r="U58" s="125"/>
      <c r="V58" s="135"/>
    </row>
    <row r="59" spans="1:22" ht="14.4" customHeight="1">
      <c r="B59" s="132">
        <v>59</v>
      </c>
      <c r="C59" s="112" t="s">
        <v>241</v>
      </c>
      <c r="D59" s="113"/>
      <c r="E59" s="113"/>
      <c r="F59" s="113"/>
      <c r="G59" s="113"/>
      <c r="H59" s="114">
        <f t="shared" si="0"/>
        <v>0</v>
      </c>
      <c r="I59" s="115" t="s">
        <v>100</v>
      </c>
      <c r="J59" s="115" t="s">
        <v>150</v>
      </c>
      <c r="K59" s="284" t="s">
        <v>158</v>
      </c>
      <c r="L59" s="116">
        <f t="shared" si="1"/>
        <v>45944</v>
      </c>
      <c r="M59" s="115"/>
      <c r="N59" s="116">
        <f t="shared" si="2"/>
        <v>45949</v>
      </c>
      <c r="O59" s="116"/>
      <c r="P59" s="116">
        <f t="shared" si="3"/>
        <v>45954</v>
      </c>
      <c r="Q59" s="128"/>
      <c r="R59" s="115">
        <v>6</v>
      </c>
      <c r="S59" s="126">
        <v>45996</v>
      </c>
      <c r="T59" s="116"/>
      <c r="U59" s="125"/>
      <c r="V59" s="135"/>
    </row>
    <row r="60" spans="1:22" ht="14.4" customHeight="1">
      <c r="B60" s="132">
        <v>60</v>
      </c>
      <c r="C60" s="112" t="s">
        <v>242</v>
      </c>
      <c r="D60" s="113"/>
      <c r="E60" s="113">
        <v>0</v>
      </c>
      <c r="F60" s="113">
        <v>0</v>
      </c>
      <c r="G60" s="113">
        <v>5</v>
      </c>
      <c r="H60" s="114">
        <f t="shared" si="0"/>
        <v>5</v>
      </c>
      <c r="I60" s="115" t="s">
        <v>100</v>
      </c>
      <c r="J60" s="115" t="s">
        <v>150</v>
      </c>
      <c r="K60" s="122" t="s">
        <v>168</v>
      </c>
      <c r="L60" s="116">
        <f t="shared" si="1"/>
        <v>45903</v>
      </c>
      <c r="M60" s="115"/>
      <c r="N60" s="116">
        <f t="shared" si="2"/>
        <v>45908</v>
      </c>
      <c r="O60" s="116"/>
      <c r="P60" s="116">
        <f t="shared" si="3"/>
        <v>45913</v>
      </c>
      <c r="Q60" s="128"/>
      <c r="R60" s="115">
        <v>14</v>
      </c>
      <c r="S60" s="116">
        <v>46011</v>
      </c>
      <c r="T60" s="116"/>
      <c r="U60" s="125"/>
      <c r="V60" s="135"/>
    </row>
    <row r="61" spans="1:22" ht="14.4" customHeight="1">
      <c r="B61" s="132">
        <v>61</v>
      </c>
      <c r="C61" s="182" t="s">
        <v>243</v>
      </c>
      <c r="D61" s="113"/>
      <c r="E61" s="113">
        <v>0</v>
      </c>
      <c r="F61" s="113">
        <v>0</v>
      </c>
      <c r="G61" s="113">
        <v>5</v>
      </c>
      <c r="H61" s="114">
        <f t="shared" si="0"/>
        <v>5</v>
      </c>
      <c r="I61" s="115" t="s">
        <v>244</v>
      </c>
      <c r="J61" s="180" t="s">
        <v>214</v>
      </c>
      <c r="K61" s="284" t="s">
        <v>158</v>
      </c>
      <c r="L61" s="116">
        <f t="shared" si="1"/>
        <v>45916</v>
      </c>
      <c r="M61" s="115"/>
      <c r="N61" s="116">
        <f t="shared" si="2"/>
        <v>45921</v>
      </c>
      <c r="O61" s="116"/>
      <c r="P61" s="116">
        <f t="shared" si="3"/>
        <v>45926</v>
      </c>
      <c r="Q61" s="128"/>
      <c r="R61" s="118">
        <v>18</v>
      </c>
      <c r="S61" s="126">
        <v>46052</v>
      </c>
      <c r="T61" s="116"/>
      <c r="U61" s="125"/>
      <c r="V61" s="135"/>
    </row>
    <row r="62" spans="1:22" ht="14.4" customHeight="1">
      <c r="B62" s="132">
        <v>62</v>
      </c>
      <c r="C62" s="112" t="s">
        <v>245</v>
      </c>
      <c r="D62" s="113"/>
      <c r="E62" s="113">
        <v>14</v>
      </c>
      <c r="F62" s="113">
        <v>15</v>
      </c>
      <c r="G62" s="113">
        <v>7</v>
      </c>
      <c r="H62" s="114">
        <f t="shared" si="0"/>
        <v>36</v>
      </c>
      <c r="I62" s="115" t="s">
        <v>240</v>
      </c>
      <c r="J62" s="115" t="s">
        <v>150</v>
      </c>
      <c r="K62" s="122" t="s">
        <v>168</v>
      </c>
      <c r="L62" s="116">
        <f t="shared" si="1"/>
        <v>45944</v>
      </c>
      <c r="M62" s="113"/>
      <c r="N62" s="116">
        <f t="shared" si="2"/>
        <v>45949</v>
      </c>
      <c r="O62" s="116"/>
      <c r="P62" s="116">
        <f t="shared" si="3"/>
        <v>45954</v>
      </c>
      <c r="Q62" s="116"/>
      <c r="R62" s="115">
        <v>6</v>
      </c>
      <c r="S62" s="126">
        <v>45996</v>
      </c>
      <c r="T62" s="116"/>
      <c r="U62" s="120"/>
      <c r="V62" s="133"/>
    </row>
    <row r="63" spans="1:22" ht="14.4" customHeight="1">
      <c r="B63" s="132">
        <v>63</v>
      </c>
      <c r="C63" s="112" t="s">
        <v>246</v>
      </c>
      <c r="D63" s="113"/>
      <c r="E63" s="113">
        <v>3</v>
      </c>
      <c r="F63" s="113">
        <v>3</v>
      </c>
      <c r="G63" s="113"/>
      <c r="H63" s="114">
        <f t="shared" si="0"/>
        <v>6</v>
      </c>
      <c r="I63" s="115" t="s">
        <v>247</v>
      </c>
      <c r="J63" s="115" t="s">
        <v>150</v>
      </c>
      <c r="K63" s="284" t="s">
        <v>158</v>
      </c>
      <c r="L63" s="116">
        <f t="shared" si="1"/>
        <v>45892</v>
      </c>
      <c r="M63" s="113"/>
      <c r="N63" s="116">
        <f t="shared" si="2"/>
        <v>45897</v>
      </c>
      <c r="O63" s="116"/>
      <c r="P63" s="116">
        <f t="shared" si="3"/>
        <v>45902</v>
      </c>
      <c r="Q63" s="116"/>
      <c r="R63" s="115">
        <v>12</v>
      </c>
      <c r="S63" s="116">
        <v>45986</v>
      </c>
      <c r="T63" s="116"/>
      <c r="U63" s="120"/>
      <c r="V63" s="133"/>
    </row>
    <row r="64" spans="1:22" ht="14.4" customHeight="1">
      <c r="B64" s="132">
        <v>64</v>
      </c>
      <c r="C64" s="112" t="s">
        <v>248</v>
      </c>
      <c r="D64" s="113"/>
      <c r="E64" s="113"/>
      <c r="F64" s="113"/>
      <c r="G64" s="113"/>
      <c r="H64" s="114">
        <f t="shared" si="0"/>
        <v>0</v>
      </c>
      <c r="I64" s="115" t="s">
        <v>249</v>
      </c>
      <c r="J64" s="115" t="s">
        <v>195</v>
      </c>
      <c r="K64" s="122" t="s">
        <v>153</v>
      </c>
      <c r="L64" s="116">
        <f t="shared" si="1"/>
        <v>45896</v>
      </c>
      <c r="M64" s="115"/>
      <c r="N64" s="116">
        <f t="shared" si="2"/>
        <v>45901</v>
      </c>
      <c r="O64" s="116"/>
      <c r="P64" s="116">
        <f t="shared" si="3"/>
        <v>45906</v>
      </c>
      <c r="Q64" s="128"/>
      <c r="R64" s="115">
        <v>8</v>
      </c>
      <c r="S64" s="116">
        <v>45962</v>
      </c>
      <c r="T64" s="116"/>
      <c r="U64" s="120"/>
      <c r="V64" s="133"/>
    </row>
    <row r="65" spans="2:22" ht="14.4" customHeight="1">
      <c r="B65" s="132">
        <v>65</v>
      </c>
      <c r="C65" s="112" t="s">
        <v>250</v>
      </c>
      <c r="D65" s="113"/>
      <c r="E65" s="113">
        <v>50</v>
      </c>
      <c r="F65" s="113">
        <v>20</v>
      </c>
      <c r="G65" s="113">
        <v>8</v>
      </c>
      <c r="H65" s="114">
        <f t="shared" si="0"/>
        <v>78</v>
      </c>
      <c r="I65" s="115" t="s">
        <v>251</v>
      </c>
      <c r="J65" s="115" t="s">
        <v>150</v>
      </c>
      <c r="K65" s="284" t="s">
        <v>153</v>
      </c>
      <c r="L65" s="116">
        <f t="shared" si="1"/>
        <v>45958</v>
      </c>
      <c r="M65" s="113"/>
      <c r="N65" s="116">
        <f t="shared" si="2"/>
        <v>45963</v>
      </c>
      <c r="O65" s="116"/>
      <c r="P65" s="116">
        <f t="shared" si="3"/>
        <v>45968</v>
      </c>
      <c r="Q65" s="117"/>
      <c r="R65" s="115">
        <v>12</v>
      </c>
      <c r="S65" s="116">
        <v>46052</v>
      </c>
      <c r="T65" s="116"/>
      <c r="U65" s="120"/>
      <c r="V65" s="133"/>
    </row>
    <row r="66" spans="2:22" ht="14.4" customHeight="1">
      <c r="B66" s="132">
        <v>66</v>
      </c>
      <c r="C66" s="112" t="s">
        <v>252</v>
      </c>
      <c r="D66" s="113"/>
      <c r="E66" s="113">
        <v>36</v>
      </c>
      <c r="F66" s="113">
        <v>30</v>
      </c>
      <c r="G66" s="113">
        <v>6</v>
      </c>
      <c r="H66" s="114">
        <f t="shared" si="0"/>
        <v>72</v>
      </c>
      <c r="I66" s="115" t="s">
        <v>155</v>
      </c>
      <c r="J66" s="115" t="s">
        <v>150</v>
      </c>
      <c r="K66" s="122" t="s">
        <v>153</v>
      </c>
      <c r="L66" s="116">
        <f t="shared" si="1"/>
        <v>45958</v>
      </c>
      <c r="M66" s="115"/>
      <c r="N66" s="116">
        <f t="shared" si="2"/>
        <v>45963</v>
      </c>
      <c r="O66" s="116"/>
      <c r="P66" s="116">
        <f t="shared" si="3"/>
        <v>45968</v>
      </c>
      <c r="Q66" s="116"/>
      <c r="R66" s="115">
        <v>12</v>
      </c>
      <c r="S66" s="116">
        <v>46052</v>
      </c>
      <c r="T66" s="116"/>
      <c r="U66" s="120"/>
      <c r="V66" s="133"/>
    </row>
    <row r="67" spans="2:22" ht="14.4" customHeight="1">
      <c r="B67" s="132">
        <v>67</v>
      </c>
      <c r="C67" s="112" t="s">
        <v>253</v>
      </c>
      <c r="D67" s="113"/>
      <c r="E67" s="113">
        <v>325</v>
      </c>
      <c r="F67" s="113">
        <v>175</v>
      </c>
      <c r="G67" s="113">
        <v>180</v>
      </c>
      <c r="H67" s="114">
        <f t="shared" si="0"/>
        <v>680</v>
      </c>
      <c r="I67" s="115" t="s">
        <v>249</v>
      </c>
      <c r="J67" s="115" t="s">
        <v>195</v>
      </c>
      <c r="K67" s="122" t="s">
        <v>153</v>
      </c>
      <c r="L67" s="116">
        <f t="shared" si="1"/>
        <v>45958</v>
      </c>
      <c r="M67" s="115"/>
      <c r="N67" s="116">
        <f t="shared" si="2"/>
        <v>45963</v>
      </c>
      <c r="O67" s="116"/>
      <c r="P67" s="116">
        <f t="shared" si="3"/>
        <v>45968</v>
      </c>
      <c r="Q67" s="127"/>
      <c r="R67" s="115">
        <v>12</v>
      </c>
      <c r="S67" s="116">
        <v>46052</v>
      </c>
      <c r="T67" s="116"/>
      <c r="U67" s="120"/>
      <c r="V67" s="133"/>
    </row>
    <row r="68" spans="2:22" ht="14.4" customHeight="1">
      <c r="B68" s="132">
        <v>68</v>
      </c>
      <c r="C68" s="112" t="s">
        <v>254</v>
      </c>
      <c r="D68" s="113"/>
      <c r="E68" s="113"/>
      <c r="F68" s="113"/>
      <c r="G68" s="113"/>
      <c r="H68" s="114">
        <f t="shared" si="0"/>
        <v>0</v>
      </c>
      <c r="I68" s="115" t="s">
        <v>255</v>
      </c>
      <c r="J68" s="115" t="s">
        <v>150</v>
      </c>
      <c r="K68" s="122" t="s">
        <v>153</v>
      </c>
      <c r="L68" s="116">
        <f t="shared" si="1"/>
        <v>45912</v>
      </c>
      <c r="M68" s="115"/>
      <c r="N68" s="116">
        <f t="shared" si="2"/>
        <v>45917</v>
      </c>
      <c r="O68" s="116"/>
      <c r="P68" s="116">
        <f t="shared" si="3"/>
        <v>45922</v>
      </c>
      <c r="Q68" s="116"/>
      <c r="R68" s="115">
        <v>12</v>
      </c>
      <c r="S68" s="116">
        <v>46006</v>
      </c>
      <c r="T68" s="116"/>
      <c r="U68" s="120"/>
      <c r="V68" s="133"/>
    </row>
    <row r="69" spans="2:22" ht="14.4" customHeight="1">
      <c r="B69" s="132">
        <v>69</v>
      </c>
      <c r="C69" s="112" t="s">
        <v>256</v>
      </c>
      <c r="D69" s="113"/>
      <c r="E69" s="113"/>
      <c r="F69" s="113"/>
      <c r="G69" s="113"/>
      <c r="H69" s="114">
        <f t="shared" si="0"/>
        <v>0</v>
      </c>
      <c r="I69" s="115" t="s">
        <v>257</v>
      </c>
      <c r="J69" s="115" t="s">
        <v>195</v>
      </c>
      <c r="K69" s="122" t="s">
        <v>153</v>
      </c>
      <c r="L69" s="116">
        <f t="shared" ref="L69:L96" si="5">N69-5</f>
        <v>45986</v>
      </c>
      <c r="M69" s="115"/>
      <c r="N69" s="116">
        <f t="shared" ref="N69:N96" si="6">P69-5</f>
        <v>45991</v>
      </c>
      <c r="O69" s="116"/>
      <c r="P69" s="116">
        <f t="shared" ref="P69:P96" si="7">+S69-(R69*7)</f>
        <v>45996</v>
      </c>
      <c r="Q69" s="128"/>
      <c r="R69" s="115">
        <v>8</v>
      </c>
      <c r="S69" s="116">
        <v>46052</v>
      </c>
      <c r="T69" s="116"/>
      <c r="U69" s="120"/>
      <c r="V69" s="133"/>
    </row>
    <row r="70" spans="2:22" ht="14.4" customHeight="1">
      <c r="B70" s="132">
        <v>70</v>
      </c>
      <c r="C70" s="112" t="s">
        <v>258</v>
      </c>
      <c r="D70" s="113"/>
      <c r="E70" s="113"/>
      <c r="F70" s="113"/>
      <c r="G70" s="113"/>
      <c r="H70" s="114">
        <f t="shared" si="0"/>
        <v>0</v>
      </c>
      <c r="I70" s="115" t="s">
        <v>255</v>
      </c>
      <c r="J70" s="115" t="s">
        <v>195</v>
      </c>
      <c r="K70" s="122" t="s">
        <v>153</v>
      </c>
      <c r="L70" s="116">
        <f t="shared" si="5"/>
        <v>45986</v>
      </c>
      <c r="M70" s="115"/>
      <c r="N70" s="116">
        <f t="shared" si="6"/>
        <v>45991</v>
      </c>
      <c r="O70" s="116"/>
      <c r="P70" s="116">
        <f t="shared" si="7"/>
        <v>45996</v>
      </c>
      <c r="Q70" s="116"/>
      <c r="R70" s="115">
        <v>8</v>
      </c>
      <c r="S70" s="116">
        <v>46052</v>
      </c>
      <c r="T70" s="116"/>
      <c r="U70" s="120"/>
      <c r="V70" s="133"/>
    </row>
    <row r="71" spans="2:22" ht="14.4" customHeight="1">
      <c r="B71" s="132">
        <v>71</v>
      </c>
      <c r="C71" s="112" t="s">
        <v>259</v>
      </c>
      <c r="D71" s="113"/>
      <c r="E71" s="113">
        <v>402</v>
      </c>
      <c r="F71" s="113">
        <v>230</v>
      </c>
      <c r="G71" s="113">
        <v>195</v>
      </c>
      <c r="H71" s="114">
        <f t="shared" si="0"/>
        <v>827</v>
      </c>
      <c r="I71" s="115" t="s">
        <v>260</v>
      </c>
      <c r="J71" s="115" t="s">
        <v>150</v>
      </c>
      <c r="K71" s="284" t="s">
        <v>238</v>
      </c>
      <c r="L71" s="116">
        <f t="shared" si="5"/>
        <v>45944</v>
      </c>
      <c r="M71" s="115"/>
      <c r="N71" s="116">
        <f t="shared" si="6"/>
        <v>45949</v>
      </c>
      <c r="O71" s="116"/>
      <c r="P71" s="116">
        <f t="shared" si="7"/>
        <v>45954</v>
      </c>
      <c r="Q71" s="116"/>
      <c r="R71" s="115">
        <v>14</v>
      </c>
      <c r="S71" s="116">
        <v>46052</v>
      </c>
      <c r="T71" s="116"/>
      <c r="U71" s="120"/>
      <c r="V71" s="133"/>
    </row>
    <row r="72" spans="2:22" ht="14.4" customHeight="1">
      <c r="B72" s="132">
        <v>72</v>
      </c>
      <c r="C72" s="112" t="s">
        <v>261</v>
      </c>
      <c r="D72" s="113"/>
      <c r="E72" s="113"/>
      <c r="F72" s="113"/>
      <c r="G72" s="113"/>
      <c r="H72" s="114">
        <f t="shared" si="0"/>
        <v>0</v>
      </c>
      <c r="I72" s="180" t="s">
        <v>262</v>
      </c>
      <c r="J72" s="115" t="s">
        <v>195</v>
      </c>
      <c r="K72" s="122" t="s">
        <v>153</v>
      </c>
      <c r="L72" s="116">
        <f t="shared" si="5"/>
        <v>45930</v>
      </c>
      <c r="M72" s="115"/>
      <c r="N72" s="116">
        <f t="shared" si="6"/>
        <v>45935</v>
      </c>
      <c r="O72" s="116"/>
      <c r="P72" s="116">
        <f t="shared" si="7"/>
        <v>45940</v>
      </c>
      <c r="Q72" s="128"/>
      <c r="R72" s="115">
        <v>8</v>
      </c>
      <c r="S72" s="116">
        <v>45996</v>
      </c>
      <c r="T72" s="116"/>
      <c r="U72" s="120"/>
      <c r="V72" s="133"/>
    </row>
    <row r="73" spans="2:22" ht="14.4" customHeight="1">
      <c r="B73" s="132">
        <v>73</v>
      </c>
      <c r="C73" s="112" t="s">
        <v>263</v>
      </c>
      <c r="D73" s="113"/>
      <c r="E73" s="113">
        <v>141</v>
      </c>
      <c r="F73" s="113">
        <v>21</v>
      </c>
      <c r="G73" s="113">
        <v>32</v>
      </c>
      <c r="H73" s="114">
        <f t="shared" si="0"/>
        <v>194</v>
      </c>
      <c r="I73" s="115" t="s">
        <v>264</v>
      </c>
      <c r="J73" s="115" t="s">
        <v>195</v>
      </c>
      <c r="K73" s="122" t="s">
        <v>153</v>
      </c>
      <c r="L73" s="116">
        <f t="shared" si="5"/>
        <v>45986</v>
      </c>
      <c r="M73" s="115"/>
      <c r="N73" s="116">
        <f t="shared" si="6"/>
        <v>45991</v>
      </c>
      <c r="O73" s="116"/>
      <c r="P73" s="116">
        <f t="shared" si="7"/>
        <v>45996</v>
      </c>
      <c r="Q73" s="128"/>
      <c r="R73" s="115">
        <v>8</v>
      </c>
      <c r="S73" s="116">
        <v>46052</v>
      </c>
      <c r="T73" s="116"/>
      <c r="U73" s="120"/>
      <c r="V73" s="133"/>
    </row>
    <row r="74" spans="2:22" ht="14.4" customHeight="1">
      <c r="B74" s="132">
        <v>74</v>
      </c>
      <c r="C74" s="112" t="s">
        <v>265</v>
      </c>
      <c r="D74" s="113"/>
      <c r="E74" s="113"/>
      <c r="F74" s="113"/>
      <c r="G74" s="113"/>
      <c r="H74" s="114">
        <f t="shared" si="0"/>
        <v>0</v>
      </c>
      <c r="I74" s="124" t="s">
        <v>266</v>
      </c>
      <c r="J74" s="115" t="s">
        <v>195</v>
      </c>
      <c r="K74" s="122" t="s">
        <v>153</v>
      </c>
      <c r="L74" s="116">
        <f t="shared" si="5"/>
        <v>45986</v>
      </c>
      <c r="M74" s="115"/>
      <c r="N74" s="116">
        <f t="shared" si="6"/>
        <v>45991</v>
      </c>
      <c r="O74" s="116"/>
      <c r="P74" s="116">
        <f t="shared" si="7"/>
        <v>45996</v>
      </c>
      <c r="Q74" s="116"/>
      <c r="R74" s="115">
        <v>8</v>
      </c>
      <c r="S74" s="116">
        <v>46052</v>
      </c>
      <c r="T74" s="116"/>
      <c r="U74" s="120"/>
      <c r="V74" s="133"/>
    </row>
    <row r="75" spans="2:22" ht="14.4" customHeight="1">
      <c r="B75" s="132">
        <v>75</v>
      </c>
      <c r="C75" s="112" t="s">
        <v>267</v>
      </c>
      <c r="D75" s="113"/>
      <c r="E75" s="113">
        <v>705</v>
      </c>
      <c r="F75" s="113">
        <v>290</v>
      </c>
      <c r="G75" s="113">
        <v>273</v>
      </c>
      <c r="H75" s="114">
        <f t="shared" si="0"/>
        <v>1268</v>
      </c>
      <c r="I75" s="115" t="s">
        <v>240</v>
      </c>
      <c r="J75" s="115" t="s">
        <v>195</v>
      </c>
      <c r="K75" s="284" t="s">
        <v>158</v>
      </c>
      <c r="L75" s="116">
        <f t="shared" si="5"/>
        <v>45980</v>
      </c>
      <c r="M75" s="115"/>
      <c r="N75" s="116">
        <f t="shared" si="6"/>
        <v>45985</v>
      </c>
      <c r="O75" s="116"/>
      <c r="P75" s="116">
        <f t="shared" si="7"/>
        <v>45990</v>
      </c>
      <c r="Q75" s="116"/>
      <c r="R75" s="115">
        <v>6</v>
      </c>
      <c r="S75" s="116">
        <v>46032</v>
      </c>
      <c r="T75" s="116"/>
      <c r="U75" s="120"/>
      <c r="V75" s="133"/>
    </row>
    <row r="76" spans="2:22" ht="14.4" customHeight="1">
      <c r="B76" s="132">
        <v>76</v>
      </c>
      <c r="C76" s="112" t="s">
        <v>268</v>
      </c>
      <c r="D76" s="113"/>
      <c r="E76" s="113">
        <v>900</v>
      </c>
      <c r="F76" s="113">
        <v>576</v>
      </c>
      <c r="G76" s="113">
        <v>322</v>
      </c>
      <c r="H76" s="114">
        <f t="shared" si="0"/>
        <v>1798</v>
      </c>
      <c r="I76" s="115" t="s">
        <v>240</v>
      </c>
      <c r="J76" s="180" t="s">
        <v>269</v>
      </c>
      <c r="K76" s="122" t="s">
        <v>144</v>
      </c>
      <c r="L76" s="116">
        <f t="shared" si="5"/>
        <v>46000</v>
      </c>
      <c r="M76" s="115"/>
      <c r="N76" s="116">
        <f t="shared" si="6"/>
        <v>46005</v>
      </c>
      <c r="O76" s="116"/>
      <c r="P76" s="116">
        <f t="shared" si="7"/>
        <v>46010</v>
      </c>
      <c r="Q76" s="116"/>
      <c r="R76" s="115">
        <v>6</v>
      </c>
      <c r="S76" s="116">
        <v>46052</v>
      </c>
      <c r="T76" s="116"/>
      <c r="U76" s="120"/>
      <c r="V76" s="133"/>
    </row>
    <row r="77" spans="2:22" ht="14.4" customHeight="1">
      <c r="B77" s="132">
        <v>77</v>
      </c>
      <c r="C77" s="112" t="s">
        <v>270</v>
      </c>
      <c r="D77" s="113"/>
      <c r="E77" s="113">
        <v>24</v>
      </c>
      <c r="F77" s="113">
        <v>24</v>
      </c>
      <c r="G77" s="113">
        <v>11</v>
      </c>
      <c r="H77" s="114">
        <f t="shared" si="0"/>
        <v>59</v>
      </c>
      <c r="I77" s="115" t="s">
        <v>240</v>
      </c>
      <c r="J77" s="115" t="s">
        <v>150</v>
      </c>
      <c r="K77" s="284" t="s">
        <v>299</v>
      </c>
      <c r="L77" s="116">
        <f t="shared" si="5"/>
        <v>46000</v>
      </c>
      <c r="M77" s="113"/>
      <c r="N77" s="116">
        <f t="shared" si="6"/>
        <v>46005</v>
      </c>
      <c r="O77" s="116"/>
      <c r="P77" s="116">
        <f t="shared" si="7"/>
        <v>46010</v>
      </c>
      <c r="Q77" s="116"/>
      <c r="R77" s="115">
        <v>6</v>
      </c>
      <c r="S77" s="116">
        <v>46052</v>
      </c>
      <c r="T77" s="116"/>
      <c r="U77" s="120"/>
      <c r="V77" s="133"/>
    </row>
    <row r="78" spans="2:22" ht="14.4" customHeight="1">
      <c r="B78" s="132">
        <v>78</v>
      </c>
      <c r="C78" s="112" t="s">
        <v>271</v>
      </c>
      <c r="D78" s="113"/>
      <c r="E78" s="113">
        <v>30</v>
      </c>
      <c r="F78" s="113">
        <v>26</v>
      </c>
      <c r="G78" s="113">
        <v>9</v>
      </c>
      <c r="H78" s="114">
        <f t="shared" si="0"/>
        <v>65</v>
      </c>
      <c r="I78" s="115" t="s">
        <v>240</v>
      </c>
      <c r="J78" s="115" t="s">
        <v>150</v>
      </c>
      <c r="K78" s="122" t="s">
        <v>168</v>
      </c>
      <c r="L78" s="116">
        <f t="shared" si="5"/>
        <v>46014</v>
      </c>
      <c r="M78" s="115"/>
      <c r="N78" s="116">
        <f t="shared" si="6"/>
        <v>46019</v>
      </c>
      <c r="O78" s="116"/>
      <c r="P78" s="116">
        <f t="shared" si="7"/>
        <v>46024</v>
      </c>
      <c r="Q78" s="116"/>
      <c r="R78" s="115">
        <v>4</v>
      </c>
      <c r="S78" s="116">
        <v>46052</v>
      </c>
      <c r="T78" s="116"/>
      <c r="U78" s="120"/>
      <c r="V78" s="133"/>
    </row>
    <row r="79" spans="2:22" ht="14.4" customHeight="1">
      <c r="B79" s="132">
        <v>79</v>
      </c>
      <c r="C79" s="112" t="s">
        <v>272</v>
      </c>
      <c r="D79" s="113"/>
      <c r="E79" s="113">
        <v>37</v>
      </c>
      <c r="F79" s="113">
        <v>32</v>
      </c>
      <c r="G79" s="113">
        <v>11</v>
      </c>
      <c r="H79" s="114">
        <f t="shared" si="0"/>
        <v>80</v>
      </c>
      <c r="I79" s="115" t="s">
        <v>240</v>
      </c>
      <c r="J79" s="115" t="s">
        <v>150</v>
      </c>
      <c r="K79" s="122" t="s">
        <v>168</v>
      </c>
      <c r="L79" s="116">
        <f t="shared" si="5"/>
        <v>46014</v>
      </c>
      <c r="M79" s="115"/>
      <c r="N79" s="116">
        <f t="shared" si="6"/>
        <v>46019</v>
      </c>
      <c r="O79" s="116"/>
      <c r="P79" s="116">
        <f t="shared" si="7"/>
        <v>46024</v>
      </c>
      <c r="Q79" s="116"/>
      <c r="R79" s="115">
        <v>4</v>
      </c>
      <c r="S79" s="116">
        <v>46052</v>
      </c>
      <c r="T79" s="116"/>
      <c r="U79" s="120"/>
      <c r="V79" s="133"/>
    </row>
    <row r="80" spans="2:22" ht="14.4" customHeight="1">
      <c r="B80" s="132">
        <v>80</v>
      </c>
      <c r="C80" s="112" t="s">
        <v>273</v>
      </c>
      <c r="D80" s="113"/>
      <c r="E80" s="113">
        <v>5</v>
      </c>
      <c r="F80" s="113">
        <v>2</v>
      </c>
      <c r="G80" s="113">
        <v>2</v>
      </c>
      <c r="H80" s="114">
        <f t="shared" si="0"/>
        <v>9</v>
      </c>
      <c r="I80" s="115" t="s">
        <v>240</v>
      </c>
      <c r="J80" s="115" t="s">
        <v>150</v>
      </c>
      <c r="K80" s="122" t="s">
        <v>168</v>
      </c>
      <c r="L80" s="116">
        <f t="shared" si="5"/>
        <v>46014</v>
      </c>
      <c r="M80" s="115"/>
      <c r="N80" s="116">
        <f t="shared" si="6"/>
        <v>46019</v>
      </c>
      <c r="O80" s="116"/>
      <c r="P80" s="116">
        <f t="shared" si="7"/>
        <v>46024</v>
      </c>
      <c r="Q80" s="116"/>
      <c r="R80" s="115">
        <v>4</v>
      </c>
      <c r="S80" s="116">
        <v>46052</v>
      </c>
      <c r="T80" s="116"/>
      <c r="U80" s="120"/>
      <c r="V80" s="133"/>
    </row>
    <row r="81" spans="1:22" ht="14.4" customHeight="1">
      <c r="B81" s="132">
        <v>81</v>
      </c>
      <c r="C81" s="112" t="s">
        <v>274</v>
      </c>
      <c r="D81" s="113"/>
      <c r="E81" s="113"/>
      <c r="F81" s="113"/>
      <c r="G81" s="113"/>
      <c r="H81" s="114">
        <f t="shared" si="0"/>
        <v>0</v>
      </c>
      <c r="I81" s="115" t="s">
        <v>275</v>
      </c>
      <c r="J81" s="123" t="s">
        <v>150</v>
      </c>
      <c r="K81" s="122" t="s">
        <v>144</v>
      </c>
      <c r="L81" s="116">
        <f t="shared" si="5"/>
        <v>45986</v>
      </c>
      <c r="M81" s="115"/>
      <c r="N81" s="116">
        <f t="shared" si="6"/>
        <v>45991</v>
      </c>
      <c r="O81" s="116"/>
      <c r="P81" s="116">
        <v>45996</v>
      </c>
      <c r="Q81" s="116"/>
      <c r="R81" s="115">
        <v>4</v>
      </c>
      <c r="S81" s="116"/>
      <c r="T81" s="116"/>
      <c r="U81" s="120"/>
      <c r="V81" s="133"/>
    </row>
    <row r="82" spans="1:22" ht="14.4" customHeight="1">
      <c r="B82" s="132">
        <v>82</v>
      </c>
      <c r="C82" s="112" t="s">
        <v>276</v>
      </c>
      <c r="D82" s="113"/>
      <c r="E82" s="113"/>
      <c r="F82" s="113"/>
      <c r="G82" s="113"/>
      <c r="H82" s="114">
        <f t="shared" si="0"/>
        <v>0</v>
      </c>
      <c r="I82" s="115" t="s">
        <v>277</v>
      </c>
      <c r="J82" s="115" t="s">
        <v>150</v>
      </c>
      <c r="K82" s="284" t="s">
        <v>158</v>
      </c>
      <c r="L82" s="116">
        <f t="shared" si="5"/>
        <v>45944</v>
      </c>
      <c r="M82" s="115"/>
      <c r="N82" s="116">
        <f t="shared" si="6"/>
        <v>45949</v>
      </c>
      <c r="O82" s="116"/>
      <c r="P82" s="116">
        <f t="shared" si="7"/>
        <v>45954</v>
      </c>
      <c r="Q82" s="116"/>
      <c r="R82" s="115">
        <v>6</v>
      </c>
      <c r="S82" s="116">
        <v>45996</v>
      </c>
      <c r="T82" s="116"/>
      <c r="U82" s="116"/>
      <c r="V82" s="133"/>
    </row>
    <row r="83" spans="1:22" ht="14.4" customHeight="1">
      <c r="B83" s="132">
        <v>83</v>
      </c>
      <c r="C83" s="112" t="s">
        <v>278</v>
      </c>
      <c r="D83" s="113"/>
      <c r="E83" s="113"/>
      <c r="F83" s="113"/>
      <c r="G83" s="113"/>
      <c r="H83" s="114">
        <f t="shared" si="0"/>
        <v>0</v>
      </c>
      <c r="I83" s="115" t="s">
        <v>279</v>
      </c>
      <c r="J83" s="115" t="s">
        <v>150</v>
      </c>
      <c r="K83" s="122" t="s">
        <v>144</v>
      </c>
      <c r="L83" s="116">
        <f t="shared" si="5"/>
        <v>45986</v>
      </c>
      <c r="M83" s="115"/>
      <c r="N83" s="116">
        <f t="shared" si="6"/>
        <v>45991</v>
      </c>
      <c r="O83" s="116"/>
      <c r="P83" s="116">
        <v>45996</v>
      </c>
      <c r="Q83" s="116"/>
      <c r="R83" s="115">
        <v>8</v>
      </c>
      <c r="S83" s="116"/>
      <c r="T83" s="116"/>
      <c r="U83" s="116"/>
      <c r="V83" s="133"/>
    </row>
    <row r="84" spans="1:22">
      <c r="B84" s="132">
        <v>84</v>
      </c>
      <c r="C84" s="112" t="s">
        <v>280</v>
      </c>
      <c r="D84" s="113"/>
      <c r="E84" s="113"/>
      <c r="F84" s="113"/>
      <c r="G84" s="113"/>
      <c r="H84" s="114">
        <f t="shared" si="0"/>
        <v>0</v>
      </c>
      <c r="I84" s="115" t="s">
        <v>100</v>
      </c>
      <c r="J84" s="115" t="s">
        <v>150</v>
      </c>
      <c r="K84" s="122" t="s">
        <v>168</v>
      </c>
      <c r="L84" s="116">
        <f t="shared" si="5"/>
        <v>45986</v>
      </c>
      <c r="M84" s="115"/>
      <c r="N84" s="116">
        <f t="shared" si="6"/>
        <v>45991</v>
      </c>
      <c r="O84" s="116"/>
      <c r="P84" s="116">
        <f t="shared" si="7"/>
        <v>45996</v>
      </c>
      <c r="Q84" s="116"/>
      <c r="R84" s="115">
        <v>8</v>
      </c>
      <c r="S84" s="185">
        <v>46052</v>
      </c>
      <c r="T84" s="116"/>
      <c r="U84" s="116"/>
      <c r="V84" s="133"/>
    </row>
    <row r="85" spans="1:22">
      <c r="B85" s="132">
        <v>85</v>
      </c>
      <c r="C85" s="112" t="s">
        <v>281</v>
      </c>
      <c r="D85" s="113"/>
      <c r="E85" s="113">
        <v>30</v>
      </c>
      <c r="F85" s="113">
        <v>10</v>
      </c>
      <c r="G85" s="113">
        <v>16</v>
      </c>
      <c r="H85" s="114">
        <f t="shared" ref="H85:H94" si="8">SUM(E85:G85)</f>
        <v>56</v>
      </c>
      <c r="I85" s="115" t="s">
        <v>100</v>
      </c>
      <c r="J85" s="115" t="s">
        <v>150</v>
      </c>
      <c r="K85" s="122" t="s">
        <v>168</v>
      </c>
      <c r="L85" s="116">
        <f t="shared" si="5"/>
        <v>46000</v>
      </c>
      <c r="M85" s="115"/>
      <c r="N85" s="116">
        <f t="shared" si="6"/>
        <v>46005</v>
      </c>
      <c r="O85" s="116"/>
      <c r="P85" s="116">
        <f t="shared" si="7"/>
        <v>46010</v>
      </c>
      <c r="Q85" s="116"/>
      <c r="R85" s="115">
        <v>6</v>
      </c>
      <c r="S85" s="116">
        <v>46052</v>
      </c>
      <c r="T85" s="116"/>
      <c r="U85" s="116"/>
      <c r="V85" s="133"/>
    </row>
    <row r="86" spans="1:22">
      <c r="B86" s="132">
        <v>86</v>
      </c>
      <c r="C86" s="112" t="s">
        <v>282</v>
      </c>
      <c r="D86" s="113"/>
      <c r="E86" s="113">
        <v>71</v>
      </c>
      <c r="F86" s="113">
        <v>39</v>
      </c>
      <c r="G86" s="113">
        <v>28</v>
      </c>
      <c r="H86" s="114">
        <f>SUM(E86:G86)</f>
        <v>138</v>
      </c>
      <c r="I86" s="115" t="s">
        <v>283</v>
      </c>
      <c r="J86" s="180" t="s">
        <v>150</v>
      </c>
      <c r="K86" s="122" t="s">
        <v>153</v>
      </c>
      <c r="L86" s="116">
        <f t="shared" si="5"/>
        <v>45930</v>
      </c>
      <c r="M86" s="115"/>
      <c r="N86" s="116">
        <f t="shared" si="6"/>
        <v>45935</v>
      </c>
      <c r="O86" s="116"/>
      <c r="P86" s="116">
        <f t="shared" si="7"/>
        <v>45940</v>
      </c>
      <c r="Q86" s="116"/>
      <c r="R86" s="115">
        <v>8</v>
      </c>
      <c r="S86" s="129">
        <v>45996</v>
      </c>
      <c r="T86" s="116"/>
      <c r="U86" s="116"/>
      <c r="V86" s="133"/>
    </row>
    <row r="87" spans="1:22">
      <c r="B87" s="132">
        <v>87</v>
      </c>
      <c r="C87" s="112" t="s">
        <v>284</v>
      </c>
      <c r="D87" s="113"/>
      <c r="E87" s="113"/>
      <c r="F87" s="113"/>
      <c r="G87" s="113"/>
      <c r="H87" s="114">
        <v>44</v>
      </c>
      <c r="I87" s="115" t="s">
        <v>100</v>
      </c>
      <c r="J87" s="115" t="s">
        <v>150</v>
      </c>
      <c r="K87" s="122" t="s">
        <v>168</v>
      </c>
      <c r="L87" s="116">
        <f t="shared" si="5"/>
        <v>46000</v>
      </c>
      <c r="M87" s="115"/>
      <c r="N87" s="116">
        <f t="shared" si="6"/>
        <v>46005</v>
      </c>
      <c r="O87" s="116"/>
      <c r="P87" s="116">
        <f t="shared" si="7"/>
        <v>46010</v>
      </c>
      <c r="Q87" s="116"/>
      <c r="R87" s="115">
        <v>6</v>
      </c>
      <c r="S87" s="116">
        <v>46052</v>
      </c>
      <c r="T87" s="116"/>
      <c r="U87" s="116"/>
      <c r="V87" s="133"/>
    </row>
    <row r="88" spans="1:22">
      <c r="B88" s="132">
        <v>88</v>
      </c>
      <c r="C88" s="112" t="s">
        <v>285</v>
      </c>
      <c r="D88" s="113"/>
      <c r="E88" s="113">
        <v>10</v>
      </c>
      <c r="F88" s="113">
        <v>2</v>
      </c>
      <c r="G88" s="113">
        <v>8</v>
      </c>
      <c r="H88" s="114">
        <f t="shared" si="8"/>
        <v>20</v>
      </c>
      <c r="I88" s="115" t="s">
        <v>100</v>
      </c>
      <c r="J88" s="115" t="s">
        <v>150</v>
      </c>
      <c r="K88" s="122" t="s">
        <v>168</v>
      </c>
      <c r="L88" s="116">
        <f t="shared" si="5"/>
        <v>46000</v>
      </c>
      <c r="M88" s="115"/>
      <c r="N88" s="116">
        <f t="shared" si="6"/>
        <v>46005</v>
      </c>
      <c r="O88" s="116"/>
      <c r="P88" s="116">
        <f t="shared" si="7"/>
        <v>46010</v>
      </c>
      <c r="Q88" s="116"/>
      <c r="R88" s="115">
        <v>6</v>
      </c>
      <c r="S88" s="116">
        <v>46052</v>
      </c>
      <c r="T88" s="116"/>
      <c r="U88" s="116"/>
      <c r="V88" s="133"/>
    </row>
    <row r="89" spans="1:22">
      <c r="B89" s="132">
        <v>89</v>
      </c>
      <c r="C89" s="182" t="s">
        <v>286</v>
      </c>
      <c r="D89" s="113"/>
      <c r="E89" s="113">
        <v>13</v>
      </c>
      <c r="F89" s="113">
        <v>18</v>
      </c>
      <c r="G89" s="113">
        <v>0</v>
      </c>
      <c r="H89" s="114">
        <f t="shared" si="8"/>
        <v>31</v>
      </c>
      <c r="I89" s="115" t="s">
        <v>100</v>
      </c>
      <c r="J89" s="180" t="s">
        <v>150</v>
      </c>
      <c r="K89" s="122" t="s">
        <v>168</v>
      </c>
      <c r="L89" s="116">
        <f t="shared" si="5"/>
        <v>45944</v>
      </c>
      <c r="M89" s="115"/>
      <c r="N89" s="116">
        <f t="shared" si="6"/>
        <v>45949</v>
      </c>
      <c r="O89" s="116"/>
      <c r="P89" s="116">
        <f t="shared" si="7"/>
        <v>45954</v>
      </c>
      <c r="Q89" s="116"/>
      <c r="R89" s="115">
        <v>6</v>
      </c>
      <c r="S89" s="116">
        <v>45996</v>
      </c>
      <c r="T89" s="116"/>
      <c r="U89" s="116"/>
      <c r="V89" s="133"/>
    </row>
    <row r="90" spans="1:22">
      <c r="A90" s="101">
        <v>1</v>
      </c>
      <c r="B90" s="132">
        <v>90</v>
      </c>
      <c r="C90" s="182" t="s">
        <v>287</v>
      </c>
      <c r="D90" s="113"/>
      <c r="E90" s="113">
        <v>26</v>
      </c>
      <c r="F90" s="113">
        <v>24</v>
      </c>
      <c r="G90" s="113">
        <v>0</v>
      </c>
      <c r="H90" s="114">
        <f t="shared" si="8"/>
        <v>50</v>
      </c>
      <c r="I90" s="115" t="s">
        <v>288</v>
      </c>
      <c r="J90" s="115"/>
      <c r="K90" s="284" t="s">
        <v>158</v>
      </c>
      <c r="L90" s="116">
        <f t="shared" si="5"/>
        <v>46015</v>
      </c>
      <c r="M90" s="115"/>
      <c r="N90" s="116">
        <f t="shared" si="6"/>
        <v>46020</v>
      </c>
      <c r="O90" s="116"/>
      <c r="P90" s="116">
        <f t="shared" si="7"/>
        <v>46025</v>
      </c>
      <c r="Q90" s="116"/>
      <c r="R90" s="115">
        <v>8</v>
      </c>
      <c r="S90" s="116">
        <v>46081</v>
      </c>
      <c r="T90" s="116"/>
      <c r="U90" s="116"/>
      <c r="V90" s="133"/>
    </row>
    <row r="91" spans="1:22">
      <c r="B91" s="132">
        <v>91</v>
      </c>
      <c r="C91" s="112" t="s">
        <v>289</v>
      </c>
      <c r="D91" s="113"/>
      <c r="E91" s="113"/>
      <c r="F91" s="113"/>
      <c r="G91" s="113"/>
      <c r="H91" s="114">
        <f t="shared" si="8"/>
        <v>0</v>
      </c>
      <c r="I91" s="115" t="s">
        <v>100</v>
      </c>
      <c r="J91" s="115" t="s">
        <v>150</v>
      </c>
      <c r="K91" s="122" t="s">
        <v>168</v>
      </c>
      <c r="L91" s="116">
        <f t="shared" si="5"/>
        <v>46014</v>
      </c>
      <c r="M91" s="115"/>
      <c r="N91" s="116">
        <f t="shared" si="6"/>
        <v>46019</v>
      </c>
      <c r="O91" s="116"/>
      <c r="P91" s="116">
        <f t="shared" si="7"/>
        <v>46024</v>
      </c>
      <c r="Q91" s="116"/>
      <c r="R91" s="115">
        <v>4</v>
      </c>
      <c r="S91" s="185">
        <v>46052</v>
      </c>
      <c r="T91" s="116"/>
      <c r="U91" s="116"/>
      <c r="V91" s="133"/>
    </row>
    <row r="92" spans="1:22">
      <c r="B92" s="132">
        <v>92</v>
      </c>
      <c r="C92" s="112" t="s">
        <v>290</v>
      </c>
      <c r="D92" s="113"/>
      <c r="E92" s="113"/>
      <c r="F92" s="113"/>
      <c r="G92" s="113"/>
      <c r="H92" s="114">
        <f t="shared" si="8"/>
        <v>0</v>
      </c>
      <c r="I92" s="115" t="s">
        <v>100</v>
      </c>
      <c r="J92" s="115" t="s">
        <v>150</v>
      </c>
      <c r="K92" s="122" t="s">
        <v>168</v>
      </c>
      <c r="L92" s="116">
        <f t="shared" si="5"/>
        <v>45986</v>
      </c>
      <c r="M92" s="115"/>
      <c r="N92" s="116">
        <f t="shared" si="6"/>
        <v>45991</v>
      </c>
      <c r="O92" s="116"/>
      <c r="P92" s="116">
        <f t="shared" si="7"/>
        <v>45996</v>
      </c>
      <c r="Q92" s="116"/>
      <c r="R92" s="115">
        <v>8</v>
      </c>
      <c r="S92" s="185">
        <v>46052</v>
      </c>
      <c r="T92" s="116"/>
      <c r="U92" s="116"/>
      <c r="V92" s="133"/>
    </row>
    <row r="93" spans="1:22">
      <c r="B93" s="132">
        <v>93</v>
      </c>
      <c r="C93" s="112" t="s">
        <v>291</v>
      </c>
      <c r="D93" s="113"/>
      <c r="E93" s="113"/>
      <c r="F93" s="113"/>
      <c r="G93" s="113"/>
      <c r="H93" s="114">
        <f t="shared" si="8"/>
        <v>0</v>
      </c>
      <c r="I93" s="115" t="s">
        <v>100</v>
      </c>
      <c r="J93" s="115" t="s">
        <v>150</v>
      </c>
      <c r="K93" s="122" t="s">
        <v>168</v>
      </c>
      <c r="L93" s="116">
        <f t="shared" si="5"/>
        <v>46014</v>
      </c>
      <c r="M93" s="115"/>
      <c r="N93" s="116">
        <f t="shared" si="6"/>
        <v>46019</v>
      </c>
      <c r="O93" s="116"/>
      <c r="P93" s="116">
        <f t="shared" si="7"/>
        <v>46024</v>
      </c>
      <c r="Q93" s="116"/>
      <c r="R93" s="115">
        <v>4</v>
      </c>
      <c r="S93" s="185">
        <v>46052</v>
      </c>
      <c r="T93" s="116"/>
      <c r="U93" s="116"/>
      <c r="V93" s="133"/>
    </row>
    <row r="94" spans="1:22">
      <c r="B94" s="132">
        <v>94</v>
      </c>
      <c r="C94" s="182" t="s">
        <v>292</v>
      </c>
      <c r="D94" s="113"/>
      <c r="E94" s="113">
        <v>84</v>
      </c>
      <c r="F94" s="113">
        <v>18</v>
      </c>
      <c r="G94" s="113">
        <v>16</v>
      </c>
      <c r="H94" s="114">
        <f t="shared" si="8"/>
        <v>118</v>
      </c>
      <c r="I94" s="180" t="s">
        <v>293</v>
      </c>
      <c r="J94" s="180" t="s">
        <v>143</v>
      </c>
      <c r="K94" s="122" t="s">
        <v>153</v>
      </c>
      <c r="L94" s="116">
        <f t="shared" si="5"/>
        <v>45986</v>
      </c>
      <c r="M94" s="180" t="s">
        <v>173</v>
      </c>
      <c r="N94" s="116">
        <f t="shared" si="6"/>
        <v>45991</v>
      </c>
      <c r="O94" s="116"/>
      <c r="P94" s="116">
        <f t="shared" si="7"/>
        <v>45996</v>
      </c>
      <c r="Q94" s="116"/>
      <c r="R94" s="115">
        <v>8</v>
      </c>
      <c r="S94" s="116">
        <v>46052</v>
      </c>
      <c r="T94" s="116"/>
      <c r="U94" s="116"/>
      <c r="V94" s="133"/>
    </row>
    <row r="95" spans="1:22">
      <c r="B95" s="132">
        <v>95</v>
      </c>
      <c r="C95" s="186" t="s">
        <v>294</v>
      </c>
      <c r="D95" s="113"/>
      <c r="E95" s="113"/>
      <c r="F95" s="113"/>
      <c r="G95" s="113"/>
      <c r="H95" s="114"/>
      <c r="I95" s="180" t="s">
        <v>295</v>
      </c>
      <c r="J95" s="180" t="s">
        <v>143</v>
      </c>
      <c r="K95" s="122" t="s">
        <v>153</v>
      </c>
      <c r="L95" s="116">
        <f t="shared" si="5"/>
        <v>45986</v>
      </c>
      <c r="M95" s="115"/>
      <c r="N95" s="116">
        <f t="shared" si="6"/>
        <v>45991</v>
      </c>
      <c r="O95" s="116"/>
      <c r="P95" s="116">
        <f t="shared" si="7"/>
        <v>45996</v>
      </c>
      <c r="Q95" s="116"/>
      <c r="R95" s="115">
        <v>8</v>
      </c>
      <c r="S95" s="116">
        <v>46052</v>
      </c>
      <c r="T95" s="116"/>
      <c r="U95" s="116"/>
      <c r="V95" s="133"/>
    </row>
    <row r="96" spans="1:22" ht="15" thickBot="1">
      <c r="B96" s="175">
        <v>96</v>
      </c>
      <c r="C96" s="187" t="s">
        <v>296</v>
      </c>
      <c r="D96" s="136"/>
      <c r="E96" s="136"/>
      <c r="F96" s="136"/>
      <c r="G96" s="136"/>
      <c r="H96" s="137">
        <v>2</v>
      </c>
      <c r="I96" s="181" t="s">
        <v>297</v>
      </c>
      <c r="J96" s="181" t="s">
        <v>150</v>
      </c>
      <c r="K96" s="179" t="s">
        <v>144</v>
      </c>
      <c r="L96" s="139">
        <f t="shared" si="5"/>
        <v>45958</v>
      </c>
      <c r="M96" s="138"/>
      <c r="N96" s="139">
        <f t="shared" si="6"/>
        <v>45963</v>
      </c>
      <c r="O96" s="139"/>
      <c r="P96" s="139">
        <f t="shared" si="7"/>
        <v>45968</v>
      </c>
      <c r="Q96" s="139"/>
      <c r="R96" s="138">
        <v>12</v>
      </c>
      <c r="S96" s="139">
        <v>46052</v>
      </c>
      <c r="T96" s="139"/>
      <c r="U96" s="139"/>
      <c r="V96" s="140"/>
    </row>
  </sheetData>
  <autoFilter ref="B3:V96" xr:uid="{00000000-0009-0000-0000-000003000000}"/>
  <mergeCells count="1">
    <mergeCell ref="B2:V2"/>
  </mergeCells>
  <pageMargins left="0.7" right="0.7" top="0.75" bottom="0.75" header="0.3" footer="0.3"/>
  <pageSetup orientation="portrait" r:id="rId1"/>
  <ignoredErrors>
    <ignoredError sqref="H14:H15" formulaRange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6729E705642D146B225B65856831419" ma:contentTypeVersion="3" ma:contentTypeDescription="Ein neues Dokument erstellen." ma:contentTypeScope="" ma:versionID="5748f91d1d2be8a354d7b5a52ec900cc">
  <xsd:schema xmlns:xsd="http://www.w3.org/2001/XMLSchema" xmlns:xs="http://www.w3.org/2001/XMLSchema" xmlns:p="http://schemas.microsoft.com/office/2006/metadata/properties" xmlns:ns2="20bf828b-a682-4613-a646-f8587e9b3ee8" targetNamespace="http://schemas.microsoft.com/office/2006/metadata/properties" ma:root="true" ma:fieldsID="e3f69515e9685250177bc59fb63f046e" ns2:_="">
    <xsd:import namespace="20bf828b-a682-4613-a646-f8587e9b3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f828b-a682-4613-a646-f8587e9b3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3B716-0BC2-4BB3-AC35-99E6B7D0A7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9CC305-AAF3-4899-A0B1-4B887CC28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212548-EBA0-472A-AE62-1CD19C29A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bf828b-a682-4613-a646-f8587e9b3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LOP</vt:lpstr>
      <vt:lpstr>M Z121 Schedule</vt:lpstr>
      <vt:lpstr>Procurement Plan</vt:lpstr>
      <vt:lpstr>'M Z121 Schedule'!Print_Area</vt:lpstr>
      <vt:lpstr>'M Z121 Schedule'!Print_Titles</vt:lpstr>
      <vt:lpstr>'M Z121 Schedule'!task_end</vt:lpstr>
      <vt:lpstr>'M Z121 Schedule'!task_progress</vt:lpstr>
      <vt:lpstr>'M Z121 Schedule'!task_start</vt:lpstr>
      <vt:lpstr>'M Z121 Schedule'!today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admin1</dc:creator>
  <cp:keywords/>
  <dc:description/>
  <cp:lastModifiedBy>Chikaskar, Suyog</cp:lastModifiedBy>
  <cp:revision/>
  <dcterms:created xsi:type="dcterms:W3CDTF">2020-04-29T14:10:00Z</dcterms:created>
  <dcterms:modified xsi:type="dcterms:W3CDTF">2025-08-13T09:29:09Z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A23C060ACE4F444BAEE2F225DC7333D6</vt:lpwstr>
  </property>
  <property fmtid="{D5CDD505-2E9C-101B-9397-08002B2CF9AE}" pid="3" name="KSOProductBuildVer">
    <vt:lpwstr>1033-11.2.0.9684</vt:lpwstr>
  </property>
  <property fmtid="{D5CDD505-2E9C-101B-9397-08002B2CF9AE}" pid="4" name="KSOReadingLayout">
    <vt:bool>true</vt:bool>
  </property>
  <property fmtid="{D5CDD505-2E9C-101B-9397-08002B2CF9AE}" pid="5" name="ContentTypeId">
    <vt:lpwstr>0x01010046729E705642D146B225B65856831419</vt:lpwstr>
  </property>
</Properties>
</file>